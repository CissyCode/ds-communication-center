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할일" sheetId="2" state="visible" r:id="rId4"/>
    <sheet name="기술요건" sheetId="3" state="visible" r:id="rId5"/>
    <sheet name="일정" sheetId="4" state="visible" r:id="rId6"/>
    <sheet name="연락처" sheetId="5" state="visible" r:id="rId7"/>
    <sheet name="경과" sheetId="6" state="visible" r:id="rId8"/>
    <sheet name="보고" sheetId="7" state="visible" r:id="rId9"/>
    <sheet name="메일초안" sheetId="8" state="visible" r:id="rId10"/>
    <sheet name="참고자료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<sst xmlns="http://schemas.openxmlformats.org/spreadsheetml/2006/main" count="546" uniqueCount="384">
  <si>
    <t xml:space="preserve">스크랩 하이라이트 DS 도입 — 과제 관리</t>
  </si>
  <si>
    <r>
      <rPr>
        <sz val="9"/>
        <color rgb="FF808080"/>
        <rFont val="맑은 고딕"/>
        <family val="0"/>
        <charset val="1"/>
      </rPr>
      <t xml:space="preserve">AI </t>
    </r>
    <r>
      <rPr>
        <sz val="9"/>
        <color rgb="FF808080"/>
        <rFont val="WenQuanYi Zen Hei"/>
        <family val="2"/>
      </rPr>
      <t xml:space="preserve">스크랩 하이라이트 </t>
    </r>
    <r>
      <rPr>
        <sz val="9"/>
        <color rgb="FF808080"/>
        <rFont val="맑은 고딕"/>
        <family val="0"/>
        <charset val="1"/>
      </rPr>
      <t xml:space="preserve">DS </t>
    </r>
    <r>
      <rPr>
        <sz val="9"/>
        <color rgb="FF808080"/>
        <rFont val="WenQuanYi Zen Hei"/>
        <family val="2"/>
      </rPr>
      <t xml:space="preserve">적용 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전사 </t>
    </r>
    <r>
      <rPr>
        <sz val="9"/>
        <color rgb="FF808080"/>
        <rFont val="맑은 고딕"/>
        <family val="0"/>
        <charset val="1"/>
      </rPr>
      <t xml:space="preserve">AX </t>
    </r>
    <r>
      <rPr>
        <sz val="9"/>
        <color rgb="FF808080"/>
        <rFont val="WenQuanYi Zen Hei"/>
        <family val="2"/>
      </rPr>
      <t xml:space="preserve">과제</t>
    </r>
    <r>
      <rPr>
        <sz val="9"/>
        <color rgb="FF808080"/>
        <rFont val="맑은 고딕"/>
        <family val="0"/>
        <charset val="1"/>
      </rPr>
      <t xml:space="preserve">) · </t>
    </r>
    <r>
      <rPr>
        <sz val="9"/>
        <color rgb="FF808080"/>
        <rFont val="WenQuanYi Zen Hei"/>
        <family val="2"/>
      </rPr>
      <t xml:space="preserve">작성 </t>
    </r>
    <r>
      <rPr>
        <sz val="9"/>
        <color rgb="FF808080"/>
        <rFont val="맑은 고딕"/>
        <family val="0"/>
        <charset val="1"/>
      </rPr>
      <t xml:space="preserve">2026-10-27</t>
    </r>
  </si>
  <si>
    <t xml:space="preserve">목표</t>
  </si>
  <si>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와 동일 시점 도입 — </t>
    </r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: 11</t>
    </r>
    <r>
      <rPr>
        <sz val="10"/>
        <rFont val="WenQuanYi Zen Hei"/>
        <family val="2"/>
      </rPr>
      <t xml:space="preserve">월 테스트 →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 적용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그룹 권고 일정</t>
    </r>
    <r>
      <rPr>
        <sz val="10"/>
        <rFont val="맑은 고딕"/>
        <family val="0"/>
        <charset val="1"/>
      </rPr>
      <t xml:space="preserve">)</t>
    </r>
  </si>
  <si>
    <t xml:space="preserve">상위 보고</t>
  </si>
  <si>
    <t xml:space="preserve">차병석 부사장 → 백사장님 각 사별 진행상황 통합 보고 예정</t>
  </si>
  <si>
    <t xml:space="preserve">보고 루틴</t>
  </si>
  <si>
    <t xml:space="preserve">08:00 이한정 = 당일 진행계획 / 18:00 양진호 = 당일 진행결과 (텔레그램 방 · 계획·결과 섞지 않기, 08:00은 전날 작성·예약 발신)</t>
  </si>
  <si>
    <t xml:space="preserve">실무</t>
  </si>
  <si>
    <t xml:space="preserve">이한정 · 양진호 (기술 창구: AX개발팀 김경수 파트장)</t>
  </si>
  <si>
    <t xml:space="preserve">핵심 판단</t>
  </si>
  <si>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는 개발 없이 바로 적용 가능 판정 → </t>
    </r>
    <r>
      <rPr>
        <sz val="10"/>
        <rFont val="맑은 고딕"/>
        <family val="0"/>
        <charset val="1"/>
      </rPr>
      <t xml:space="preserve">DS</t>
    </r>
    <r>
      <rPr>
        <sz val="10"/>
        <rFont val="WenQuanYi Zen Hei"/>
        <family val="2"/>
      </rPr>
      <t xml:space="preserve">도 양식이 유사하면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세팅 과제</t>
    </r>
    <r>
      <rPr>
        <sz val="10"/>
        <rFont val="맑은 고딕"/>
        <family val="0"/>
        <charset val="1"/>
      </rPr>
      <t xml:space="preserve">'. </t>
    </r>
    <r>
      <rPr>
        <sz val="10"/>
        <rFont val="WenQuanYi Zen Hei"/>
        <family val="2"/>
      </rPr>
      <t xml:space="preserve">일정 분기점은 샘플 테스트 결과</t>
    </r>
  </si>
  <si>
    <t xml:space="preserve">리드타임</t>
  </si>
  <si>
    <t xml:space="preserve">보안(방화벽·NASCA)·GPT Tier 4 계정 → 공식 요청과 무관하게 즉시 병행 착수</t>
  </si>
  <si>
    <t xml:space="preserve">최대 블로커</t>
  </si>
  <si>
    <t xml:space="preserve">팀장님 명의 공식 지원요청 메일 (A1)</t>
  </si>
  <si>
    <t xml:space="preserve">진행 현황</t>
  </si>
  <si>
    <t xml:space="preserve">구분</t>
  </si>
  <si>
    <t xml:space="preserve">미착수</t>
  </si>
  <si>
    <t xml:space="preserve">진행중</t>
  </si>
  <si>
    <t xml:space="preserve">완료</t>
  </si>
  <si>
    <t xml:space="preserve">블로킹</t>
  </si>
  <si>
    <t xml:space="preserve">진척률</t>
  </si>
  <si>
    <t xml:space="preserve">할일</t>
  </si>
  <si>
    <t xml:space="preserve">기술요건</t>
  </si>
  <si>
    <t xml:space="preserve">리스크</t>
  </si>
  <si>
    <t xml:space="preserve">영향</t>
  </si>
  <si>
    <t xml:space="preserve">대응</t>
  </si>
  <si>
    <t xml:space="preserve">공식 요청메일 지연</t>
  </si>
  <si>
    <t xml:space="preserve">개발팀 착수 불가</t>
  </si>
  <si>
    <r>
      <rPr>
        <sz val="10"/>
        <rFont val="맑은 고딕"/>
        <family val="0"/>
        <charset val="1"/>
      </rPr>
      <t xml:space="preserve">A1 </t>
    </r>
    <r>
      <rPr>
        <sz val="10"/>
        <rFont val="WenQuanYi Zen Hei"/>
        <family val="2"/>
      </rPr>
      <t xml:space="preserve">최우선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오늘 상신</t>
    </r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</si>
  <si>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양식 차이로 개발 필요</t>
    </r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</si>
  <si>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대비 수주 지연</t>
    </r>
  </si>
  <si>
    <t xml:space="preserve">샘플 조기 전달로 판정 앞당김</t>
  </si>
  <si>
    <t xml:space="preserve">보안 절차·Tier 4 계정 리드타임</t>
  </si>
  <si>
    <t xml:space="preserve">프로그램 준비돼도 실행 불가</t>
  </si>
  <si>
    <t xml:space="preserve">지금 바로 병행 신청</t>
  </si>
  <si>
    <t xml:space="preserve">외부 AI 전송 보안정책</t>
  </si>
  <si>
    <t xml:space="preserve">도입 제동 가능</t>
  </si>
  <si>
    <t xml:space="preserve">정보보호 사전 확인 (T8)</t>
  </si>
  <si>
    <t xml:space="preserve">크레딧 비용 (회당 300~350)</t>
  </si>
  <si>
    <t xml:space="preserve">예산·부담 주체</t>
  </si>
  <si>
    <r>
      <rPr>
        <sz val="10"/>
        <rFont val="맑은 고딕"/>
        <family val="0"/>
        <charset val="1"/>
      </rPr>
      <t xml:space="preserve">T4</t>
    </r>
    <r>
      <rPr>
        <sz val="10"/>
        <rFont val="WenQuanYi Zen Hei"/>
        <family val="2"/>
      </rPr>
      <t xml:space="preserve">에서 비용 주체 확정</t>
    </r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</si>
  <si>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도입일 미정</t>
    </r>
  </si>
  <si>
    <t xml:space="preserve">목표일 불명확</t>
  </si>
  <si>
    <t xml:space="preserve">김경수 파트장 직접 확인</t>
  </si>
  <si>
    <t xml:space="preserve">상위 통합 보고</t>
  </si>
  <si>
    <t xml:space="preserve">지연 시 재노출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</si>
  <si>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회 보고로 진척 가시화</t>
    </r>
  </si>
  <si>
    <t xml:space="preserve">할 일 (Action Items)</t>
  </si>
  <si>
    <t xml:space="preserve">상태 열은 드롭다운으로 변경 · 행 추가 시 표 아래에 이어서 입력 (대시보드 집계는 300행까지 자동 반영)</t>
  </si>
  <si>
    <t xml:space="preserve">#</t>
  </si>
  <si>
    <t xml:space="preserve">할 일</t>
  </si>
  <si>
    <t xml:space="preserve">담당</t>
  </si>
  <si>
    <t xml:space="preserve">기한</t>
  </si>
  <si>
    <t xml:space="preserve">상태</t>
  </si>
  <si>
    <t xml:space="preserve">메모</t>
  </si>
  <si>
    <t xml:space="preserve">A1</t>
  </si>
  <si>
    <t xml:space="preserve">요청</t>
  </si>
  <si>
    <t xml:space="preserve">팀장님 명의 개발지원 요청 메일 → 상무님 검토 → 팀장님 발송</t>
  </si>
  <si>
    <t xml:space="preserve">이한정·양진호</t>
  </si>
  <si>
    <t xml:space="preserve">2026-10-27</t>
  </si>
  <si>
    <t xml:space="preserve">최대 블로커. 초안은 '메일초안' 시트. 수신 안재용 센터장·김상하 상무</t>
  </si>
  <si>
    <t xml:space="preserve">A2</t>
  </si>
  <si>
    <t xml:space="preserve">일정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</si>
  <si>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도입 예정일 확인</t>
    </r>
  </si>
  <si>
    <t xml:space="preserve">이한정</t>
  </si>
  <si>
    <t xml:space="preserve">2026-10-28</t>
  </si>
  <si>
    <t xml:space="preserve">DX 예상: 11월 테스트, 12월 적용(그룹 권고 일정). 세부 일자는 추가 확인</t>
  </si>
  <si>
    <t xml:space="preserve">A3</t>
  </si>
  <si>
    <t xml:space="preserve">샘플</t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</si>
  <si>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스크랩 샘플</t>
    </r>
    <r>
      <rPr>
        <sz val="10"/>
        <rFont val="맑은 고딕"/>
        <family val="0"/>
        <charset val="1"/>
      </rPr>
      <t xml:space="preserve">(1p </t>
    </r>
    <r>
      <rPr>
        <sz val="10"/>
        <rFont val="WenQuanYi Zen Hei"/>
        <family val="2"/>
      </rPr>
      <t xml:space="preserve">목차 표지 포함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수기 하이라이트 샘플 </t>
    </r>
    <r>
      <rPr>
        <sz val="10"/>
        <rFont val="맑은 고딕"/>
        <family val="0"/>
        <charset val="1"/>
      </rPr>
      <t xml:space="preserve">+ set.txt </t>
    </r>
    <r>
      <rPr>
        <sz val="10"/>
        <rFont val="WenQuanYi Zen Hei"/>
        <family val="2"/>
      </rPr>
      <t xml:space="preserve">준비</t>
    </r>
  </si>
  <si>
    <t xml:space="preserve">양진호</t>
  </si>
  <si>
    <t xml:space="preserve">그룹은 개발의뢰서도 함께 전달</t>
  </si>
  <si>
    <t xml:space="preserve">A4</t>
  </si>
  <si>
    <t xml:space="preserve">테스트</t>
  </si>
  <si>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 샘플 테스트 → 바로 적용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추가 개발 판정</t>
    </r>
  </si>
  <si>
    <r>
      <rPr>
        <sz val="10"/>
        <rFont val="맑은 고딕"/>
        <family val="0"/>
        <charset val="1"/>
      </rPr>
      <t xml:space="preserve">A1·A3 </t>
    </r>
    <r>
      <rPr>
        <sz val="10"/>
        <rFont val="WenQuanYi Zen Hei"/>
        <family val="2"/>
      </rPr>
      <t xml:space="preserve">후</t>
    </r>
  </si>
  <si>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는 샘플 당일 판정</t>
    </r>
  </si>
  <si>
    <t xml:space="preserve">A5</t>
  </si>
  <si>
    <t xml:space="preserve">보안</t>
  </si>
  <si>
    <t xml:space="preserve">기술요건 T4~T8 담당부서·소요기간 파악 및 신청 착수</t>
  </si>
  <si>
    <t xml:space="preserve">2026-10-29</t>
  </si>
  <si>
    <t xml:space="preserve">공식 요청과 무관하게 오늘부터 병행</t>
  </si>
  <si>
    <t xml:space="preserve">A6</t>
  </si>
  <si>
    <t xml:space="preserve">협의</t>
  </si>
  <si>
    <t xml:space="preserve">우면동 AX개발팀 대면 방문</t>
  </si>
  <si>
    <t xml:space="preserve">상무님: 전화 말고 찾아가서 만날 것</t>
  </si>
  <si>
    <t xml:space="preserve">A7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</si>
  <si>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도입일 기준 역산 일정표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보고</t>
    </r>
  </si>
  <si>
    <r>
      <rPr>
        <sz val="10"/>
        <rFont val="맑은 고딕"/>
        <family val="0"/>
        <charset val="1"/>
      </rPr>
      <t xml:space="preserve">A2 </t>
    </r>
    <r>
      <rPr>
        <sz val="10"/>
        <rFont val="WenQuanYi Zen Hei"/>
        <family val="2"/>
      </rPr>
      <t xml:space="preserve">후</t>
    </r>
  </si>
  <si>
    <r>
      <rPr>
        <sz val="10"/>
        <rFont val="맑은 고딕"/>
        <family val="0"/>
        <charset val="1"/>
      </rPr>
      <t xml:space="preserve">DX 11</t>
    </r>
    <r>
      <rPr>
        <sz val="10"/>
        <rFont val="WenQuanYi Zen Hei"/>
        <family val="2"/>
      </rPr>
      <t xml:space="preserve">월 테스트</t>
    </r>
    <r>
      <rPr>
        <sz val="10"/>
        <rFont val="맑은 고딕"/>
        <family val="0"/>
        <charset val="1"/>
      </rPr>
      <t xml:space="preserve">·12</t>
    </r>
    <r>
      <rPr>
        <sz val="10"/>
        <rFont val="WenQuanYi Zen Hei"/>
        <family val="2"/>
      </rPr>
      <t xml:space="preserve">월 적용 기준으로 작성 가능</t>
    </r>
  </si>
  <si>
    <t xml:space="preserve">A8</t>
  </si>
  <si>
    <t xml:space="preserve">운영</t>
  </si>
  <si>
    <t xml:space="preserve">보고방 텔레그램 전환</t>
  </si>
  <si>
    <t xml:space="preserve">-</t>
  </si>
  <si>
    <t xml:space="preserve">10.27 텔레그램 방 개설 완료</t>
  </si>
  <si>
    <t xml:space="preserve">A9</t>
  </si>
  <si>
    <t xml:space="preserve">김용호 프로 측에 DS 진행 계획 공유</t>
  </si>
  <si>
    <t xml:space="preserve">김기훈 부장</t>
  </si>
  <si>
    <t xml:space="preserve">수시</t>
  </si>
  <si>
    <t xml:space="preserve">A10</t>
  </si>
  <si>
    <t xml:space="preserve">실운영 병행 테스트 계획 (새벽 스크랩 제작 시 실행·피드백)</t>
  </si>
  <si>
    <r>
      <rPr>
        <sz val="10"/>
        <rFont val="맑은 고딕"/>
        <family val="0"/>
        <charset val="1"/>
      </rPr>
      <t xml:space="preserve">A4 </t>
    </r>
    <r>
      <rPr>
        <sz val="10"/>
        <rFont val="WenQuanYi Zen Hei"/>
        <family val="2"/>
      </rPr>
      <t xml:space="preserve">후</t>
    </r>
  </si>
  <si>
    <t xml:space="preserve">그룹은 약 2주</t>
  </si>
  <si>
    <t xml:space="preserve">D1</t>
  </si>
  <si>
    <t xml:space="preserve">김용호 프로 통화, 안내메일 재수령</t>
  </si>
  <si>
    <t xml:space="preserve">2026-10-26</t>
  </si>
  <si>
    <t xml:space="preserve">D2</t>
  </si>
  <si>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김경수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이근택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실무방 개설</t>
    </r>
  </si>
  <si>
    <t xml:space="preserve">D3</t>
  </si>
  <si>
    <t xml:space="preserve">자료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</si>
  <si>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메일스레드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선행조건 확보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이태양 </t>
    </r>
    <r>
      <rPr>
        <sz val="10"/>
        <rFont val="맑은 고딕"/>
        <family val="0"/>
        <charset val="1"/>
      </rPr>
      <t xml:space="preserve">FW)</t>
    </r>
  </si>
  <si>
    <t xml:space="preserve">D4</t>
  </si>
  <si>
    <t xml:space="preserve">보고</t>
  </si>
  <si>
    <r>
      <rPr>
        <sz val="10"/>
        <rFont val="맑은 고딕"/>
        <family val="0"/>
        <charset val="1"/>
      </rPr>
      <t xml:space="preserve">10.27 08:00 </t>
    </r>
    <r>
      <rPr>
        <sz val="10"/>
        <rFont val="WenQuanYi Zen Hei"/>
        <family val="2"/>
      </rPr>
      <t xml:space="preserve">정기 보고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</si>
  <si>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보고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시트</t>
    </r>
  </si>
  <si>
    <t xml:space="preserve">A11</t>
  </si>
  <si>
    <r>
      <rPr>
        <sz val="10"/>
        <rFont val="맑은 고딕"/>
        <family val="0"/>
        <charset val="1"/>
      </rPr>
      <t xml:space="preserve">08:00 </t>
    </r>
    <r>
      <rPr>
        <sz val="10"/>
        <rFont val="WenQuanYi Zen Hei"/>
        <family val="2"/>
      </rPr>
      <t xml:space="preserve">계획 </t>
    </r>
    <r>
      <rPr>
        <sz val="10"/>
        <rFont val="맑은 고딕"/>
        <family val="0"/>
        <charset val="1"/>
      </rPr>
      <t xml:space="preserve">/ 18:00 </t>
    </r>
    <r>
      <rPr>
        <sz val="10"/>
        <rFont val="WenQuanYi Zen Hei"/>
        <family val="2"/>
      </rPr>
      <t xml:space="preserve">결과 보고 분리 운영 — 퇴근 전 양진호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이한정 다음날 계획 합의</t>
    </r>
    <r>
      <rPr>
        <sz val="10"/>
        <rFont val="맑은 고딕"/>
        <family val="0"/>
        <charset val="1"/>
      </rPr>
      <t xml:space="preserve">, 08:00 </t>
    </r>
    <r>
      <rPr>
        <sz val="10"/>
        <rFont val="WenQuanYi Zen Hei"/>
        <family val="2"/>
      </rPr>
      <t xml:space="preserve">보고 예약 발신</t>
    </r>
  </si>
  <si>
    <t xml:space="preserve">매일</t>
  </si>
  <si>
    <t xml:space="preserve">김기훈 부장 가이드</t>
  </si>
  <si>
    <t xml:space="preserve">기술 요건 체크리스트</t>
  </si>
  <si>
    <t xml:space="preserve">출처: 김경수 파트장(전사 AX개발팀) Newspaper_Highlight.exe 선행조건 안내 / 차병석 부사장 안내메일</t>
  </si>
  <si>
    <t xml:space="preserve">분류</t>
  </si>
  <si>
    <t xml:space="preserve">요건</t>
  </si>
  <si>
    <r>
      <rPr>
        <b val="true"/>
        <sz val="10"/>
        <color rgb="FFFFFFFF"/>
        <rFont val="맑은 고딕"/>
        <family val="0"/>
        <charset val="1"/>
      </rPr>
      <t xml:space="preserve">DS </t>
    </r>
    <r>
      <rPr>
        <b val="true"/>
        <sz val="10"/>
        <color rgb="FFFFFFFF"/>
        <rFont val="WenQuanYi Zen Hei"/>
        <family val="2"/>
      </rPr>
      <t xml:space="preserve">확인 사항</t>
    </r>
  </si>
  <si>
    <t xml:space="preserve">T1</t>
  </si>
  <si>
    <t xml:space="preserve">입력</t>
  </si>
  <si>
    <t xml:space="preserve">스크랩 PDF: 1p 목차 표지 포함 검토본</t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</si>
  <si>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스크랩에 목차 표지 있는지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양식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 구성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본문 배치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차이</t>
    </r>
  </si>
  <si>
    <t xml:space="preserve">T2</t>
  </si>
  <si>
    <t xml:space="preserve">묶음 기사 정보 set.txt (예: - 헬릭스 투자 관련 : 5~6P)</t>
  </si>
  <si>
    <t xml:space="preserve">매일 새벽 스크랩 담당자 작성 프로세스 지정</t>
  </si>
  <si>
    <t xml:space="preserve">T3</t>
  </si>
  <si>
    <t xml:space="preserve">PC</t>
  </si>
  <si>
    <r>
      <rPr>
        <sz val="10"/>
        <rFont val="맑은 고딕"/>
        <family val="0"/>
        <charset val="1"/>
      </rPr>
      <t xml:space="preserve">Windows 11 64bit, RAM 16GB+, </t>
    </r>
    <r>
      <rPr>
        <sz val="10"/>
        <rFont val="WenQuanYi Zen Hei"/>
        <family val="2"/>
      </rPr>
      <t xml:space="preserve">충분한 저장공간</t>
    </r>
  </si>
  <si>
    <t xml:space="preserve">스크랩 제작 PC 사양 확인 / 필요시 교체</t>
  </si>
  <si>
    <t xml:space="preserve">T4</t>
  </si>
  <si>
    <t xml:space="preserve">계정</t>
  </si>
  <si>
    <t xml:space="preserve">사내 외부 생성형 AI GPT Tier 4 권한 계정 (1회 300~350 크레딧)</t>
  </si>
  <si>
    <t xml:space="preserve">신청 절차·승인권자·소요기간, 비용 부담 주체</t>
  </si>
  <si>
    <t xml:space="preserve">T5</t>
  </si>
  <si>
    <t xml:space="preserve">SW</t>
  </si>
  <si>
    <r>
      <rPr>
        <sz val="10"/>
        <rFont val="맑은 고딕"/>
        <family val="0"/>
        <charset val="1"/>
      </rPr>
      <t xml:space="preserve">Codex CLI </t>
    </r>
    <r>
      <rPr>
        <sz val="10"/>
        <rFont val="WenQuanYi Zen Hei"/>
        <family val="2"/>
      </rPr>
      <t xml:space="preserve">설치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로그인</t>
    </r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</si>
  <si>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보안정책상 설치 허용 여부</t>
    </r>
  </si>
  <si>
    <t xml:space="preserve">T6</t>
  </si>
  <si>
    <r>
      <rPr>
        <sz val="10"/>
        <rFont val="맑은 고딕"/>
        <family val="0"/>
        <charset val="1"/>
      </rPr>
      <t xml:space="preserve">OCR API </t>
    </r>
    <r>
      <rPr>
        <sz val="10"/>
        <rFont val="WenQuanYi Zen Hei"/>
        <family val="2"/>
      </rPr>
      <t xml:space="preserve">방화벽 등록</t>
    </r>
    <r>
      <rPr>
        <sz val="10"/>
        <rFont val="맑은 고딕"/>
        <family val="0"/>
        <charset val="1"/>
      </rPr>
      <t xml:space="preserve">: inference-doxa-newspaper-wogt.shuttle.sr-cloud.com</t>
    </r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</si>
  <si>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방화벽 신청 부서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소요기간</t>
    </r>
  </si>
  <si>
    <t xml:space="preserve">T7</t>
  </si>
  <si>
    <r>
      <rPr>
        <sz val="10"/>
        <rFont val="맑은 고딕"/>
        <family val="0"/>
        <charset val="1"/>
      </rPr>
      <t xml:space="preserve">NASCA/DRM </t>
    </r>
    <r>
      <rPr>
        <sz val="10"/>
        <rFont val="WenQuanYi Zen Hei"/>
        <family val="2"/>
      </rPr>
      <t xml:space="preserve">신뢰 프로그램 등록 </t>
    </r>
    <r>
      <rPr>
        <sz val="10"/>
        <rFont val="맑은 고딕"/>
        <family val="0"/>
        <charset val="1"/>
      </rPr>
      <t xml:space="preserve">(Newspaper_Highlight.exe)</t>
    </r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</si>
  <si>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사업장 </t>
    </r>
    <r>
      <rPr>
        <sz val="10"/>
        <rFont val="맑은 고딕"/>
        <family val="0"/>
        <charset val="1"/>
      </rPr>
      <t xml:space="preserve">NASCA </t>
    </r>
    <r>
      <rPr>
        <sz val="10"/>
        <rFont val="WenQuanYi Zen Hei"/>
        <family val="2"/>
      </rPr>
      <t xml:space="preserve">담당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소요기간</t>
    </r>
  </si>
  <si>
    <t xml:space="preserve">T8</t>
  </si>
  <si>
    <t xml:space="preserve">기사 텍스트 외부 AI(ChatGPT) 전송</t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</si>
  <si>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정보보호</t>
    </r>
    <r>
      <rPr>
        <sz val="10"/>
        <rFont val="맑은 고딕"/>
        <family val="0"/>
        <charset val="1"/>
      </rPr>
      <t xml:space="preserve">·AI </t>
    </r>
    <r>
      <rPr>
        <sz val="10"/>
        <rFont val="WenQuanYi Zen Hei"/>
        <family val="2"/>
      </rPr>
      <t xml:space="preserve">활용 정책 사전 검토 필요 여부</t>
    </r>
  </si>
  <si>
    <t xml:space="preserve">T9</t>
  </si>
  <si>
    <t xml:space="preserve">범위</t>
  </si>
  <si>
    <t xml:space="preserve">특이 편집 기사 하이라이트 미적용</t>
  </si>
  <si>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처럼 추가 학습 없이 수작업 처리 권고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학습 시 샘플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+)</t>
    </r>
  </si>
  <si>
    <t xml:space="preserve">결정대기</t>
  </si>
  <si>
    <t xml:space="preserve">도입 일정 (DX 도입일 확정 후 역산)</t>
  </si>
  <si>
    <r>
      <rPr>
        <sz val="9"/>
        <color rgb="FF808080"/>
        <rFont val="맑은 고딕"/>
        <family val="0"/>
        <charset val="1"/>
      </rPr>
      <t xml:space="preserve">DX: </t>
    </r>
    <r>
      <rPr>
        <sz val="9"/>
        <color rgb="FF808080"/>
        <rFont val="WenQuanYi Zen Hei"/>
        <family val="2"/>
      </rPr>
      <t xml:space="preserve">그룹 권고 일정</t>
    </r>
    <r>
      <rPr>
        <sz val="9"/>
        <color rgb="FF808080"/>
        <rFont val="맑은 고딕"/>
        <family val="0"/>
        <charset val="1"/>
      </rPr>
      <t xml:space="preserve">(11</t>
    </r>
    <r>
      <rPr>
        <sz val="9"/>
        <color rgb="FF808080"/>
        <rFont val="WenQuanYi Zen Hei"/>
        <family val="2"/>
      </rPr>
      <t xml:space="preserve">월 테스트 → </t>
    </r>
    <r>
      <rPr>
        <sz val="9"/>
        <color rgb="FF808080"/>
        <rFont val="맑은 고딕"/>
        <family val="0"/>
        <charset val="1"/>
      </rPr>
      <t xml:space="preserve">12</t>
    </r>
    <r>
      <rPr>
        <sz val="9"/>
        <color rgb="FF808080"/>
        <rFont val="WenQuanYi Zen Hei"/>
        <family val="2"/>
      </rPr>
      <t xml:space="preserve">월 적용</t>
    </r>
    <r>
      <rPr>
        <sz val="9"/>
        <color rgb="FF808080"/>
        <rFont val="맑은 고딕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에 맞춰 진행 예정 </t>
    </r>
    <r>
      <rPr>
        <sz val="9"/>
        <color rgb="FF808080"/>
        <rFont val="맑은 고딕"/>
        <family val="0"/>
        <charset val="1"/>
      </rPr>
      <t xml:space="preserve">· DS</t>
    </r>
    <r>
      <rPr>
        <sz val="9"/>
        <color rgb="FF808080"/>
        <rFont val="WenQuanYi Zen Hei"/>
        <family val="2"/>
      </rPr>
      <t xml:space="preserve">도 동일 목표</t>
    </r>
  </si>
  <si>
    <t xml:space="preserve">단계</t>
  </si>
  <si>
    <t xml:space="preserve">그룹(참고)</t>
  </si>
  <si>
    <t xml:space="preserve">DX</t>
  </si>
  <si>
    <r>
      <rPr>
        <b val="true"/>
        <sz val="10"/>
        <color rgb="FFFFFFFF"/>
        <rFont val="맑은 고딕"/>
        <family val="0"/>
        <charset val="1"/>
      </rPr>
      <t xml:space="preserve">DS </t>
    </r>
    <r>
      <rPr>
        <b val="true"/>
        <sz val="10"/>
        <color rgb="FFFFFFFF"/>
        <rFont val="WenQuanYi Zen Hei"/>
        <family val="2"/>
      </rPr>
      <t xml:space="preserve">목표</t>
    </r>
  </si>
  <si>
    <t xml:space="preserve">선결</t>
  </si>
  <si>
    <t xml:space="preserve">요청·샘플 전달</t>
  </si>
  <si>
    <r>
      <rPr>
        <sz val="10"/>
        <rFont val="맑은 고딕"/>
        <family val="0"/>
        <charset val="1"/>
      </rPr>
      <t xml:space="preserve">7.20 </t>
    </r>
    <r>
      <rPr>
        <sz val="10"/>
        <rFont val="WenQuanYi Zen Hei"/>
        <family val="2"/>
      </rPr>
      <t xml:space="preserve">킥오프</t>
    </r>
  </si>
  <si>
    <t xml:space="preserve">10.12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</si>
  <si>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 말</t>
    </r>
  </si>
  <si>
    <t xml:space="preserve">A1, A3</t>
  </si>
  <si>
    <t xml:space="preserve">샘플 테스트·판정</t>
  </si>
  <si>
    <r>
      <rPr>
        <sz val="10"/>
        <rFont val="맑은 고딕"/>
        <family val="0"/>
        <charset val="1"/>
      </rPr>
      <t xml:space="preserve">10.12 </t>
    </r>
    <r>
      <rPr>
        <sz val="10"/>
        <rFont val="WenQuanYi Zen Hei"/>
        <family val="2"/>
      </rPr>
      <t xml:space="preserve">당일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적용 가능</t>
    </r>
    <r>
      <rPr>
        <sz val="10"/>
        <rFont val="맑은 고딕"/>
        <family val="0"/>
        <charset val="1"/>
      </rPr>
      <t xml:space="preserve">'</t>
    </r>
  </si>
  <si>
    <t xml:space="preserve">양식 맞춤 개발</t>
  </si>
  <si>
    <t xml:space="preserve">7.20~8.27</t>
  </si>
  <si>
    <t xml:space="preserve">불필요</t>
  </si>
  <si>
    <r>
      <rPr>
        <sz val="10"/>
        <rFont val="맑은 고딕"/>
        <family val="0"/>
        <charset val="1"/>
      </rPr>
      <t xml:space="preserve">A4 </t>
    </r>
    <r>
      <rPr>
        <sz val="10"/>
        <rFont val="WenQuanYi Zen Hei"/>
        <family val="2"/>
      </rPr>
      <t xml:space="preserve">결과</t>
    </r>
  </si>
  <si>
    <r>
      <rPr>
        <sz val="10"/>
        <rFont val="맑은 고딕"/>
        <family val="0"/>
        <charset val="1"/>
      </rPr>
      <t xml:space="preserve">PC·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보안 세팅</t>
    </r>
  </si>
  <si>
    <r>
      <rPr>
        <sz val="10"/>
        <rFont val="WenQuanYi Zen Hei"/>
        <family val="2"/>
      </rPr>
      <t xml:space="preserve">즉시 착수</t>
    </r>
    <r>
      <rPr>
        <sz val="10"/>
        <rFont val="맑은 고딕"/>
        <family val="0"/>
        <charset val="1"/>
      </rPr>
      <t xml:space="preserve">, 11</t>
    </r>
    <r>
      <rPr>
        <sz val="10"/>
        <rFont val="WenQuanYi Zen Hei"/>
        <family val="2"/>
      </rPr>
      <t xml:space="preserve">월 테스트 전 완료</t>
    </r>
  </si>
  <si>
    <t xml:space="preserve">T3~T8</t>
  </si>
  <si>
    <t xml:space="preserve">실운영 병행 테스트</t>
  </si>
  <si>
    <t xml:space="preserve">8.27~9.12</t>
  </si>
  <si>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월</t>
    </r>
  </si>
  <si>
    <t xml:space="preserve">본 적용</t>
  </si>
  <si>
    <t xml:space="preserve">9.14</t>
  </si>
  <si>
    <t xml:space="preserve">12월</t>
  </si>
  <si>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(DX</t>
    </r>
    <r>
      <rPr>
        <sz val="10"/>
        <rFont val="WenQuanYi Zen Hei"/>
        <family val="2"/>
      </rPr>
      <t xml:space="preserve">와 동일</t>
    </r>
    <r>
      <rPr>
        <sz val="10"/>
        <rFont val="맑은 고딕"/>
        <family val="0"/>
        <charset val="1"/>
      </rPr>
      <t xml:space="preserve">)</t>
    </r>
  </si>
  <si>
    <t xml:space="preserve">관계자</t>
  </si>
  <si>
    <t xml:space="preserve">이름</t>
  </si>
  <si>
    <t xml:space="preserve">직책·소속</t>
  </si>
  <si>
    <t xml:space="preserve">역할</t>
  </si>
  <si>
    <t xml:space="preserve">메일</t>
  </si>
  <si>
    <t xml:space="preserve">연락 상태</t>
  </si>
  <si>
    <t xml:space="preserve">DS</t>
  </si>
  <si>
    <r>
      <rPr>
        <sz val="10"/>
        <rFont val="맑은 고딕"/>
        <family val="0"/>
        <charset val="1"/>
      </rPr>
      <t xml:space="preserve">DS</t>
    </r>
    <r>
      <rPr>
        <sz val="10"/>
        <rFont val="WenQuanYi Zen Hei"/>
        <family val="2"/>
      </rPr>
      <t xml:space="preserve">컴팀장님</t>
    </r>
  </si>
  <si>
    <t xml:space="preserve">팀장</t>
  </si>
  <si>
    <t xml:space="preserve">공식 지원요청 메일 명의자</t>
  </si>
  <si>
    <t xml:space="preserve">김인철 (Jerome)</t>
  </si>
  <si>
    <t xml:space="preserve">상무/그룹장</t>
  </si>
  <si>
    <t xml:space="preserve">지시·팀장님 보고, 1일 2회 보고 수신</t>
  </si>
  <si>
    <t xml:space="preserve">everpfe.kim@samsung.com</t>
  </si>
  <si>
    <t xml:space="preserve">이정섭 (Justin)</t>
  </si>
  <si>
    <t xml:space="preserve">파트장</t>
  </si>
  <si>
    <t xml:space="preserve">진행 체크, 보고방 개설</t>
  </si>
  <si>
    <t xml:space="preserve">김인영 (Inyoung)</t>
  </si>
  <si>
    <t xml:space="preserve">진행 체크</t>
  </si>
  <si>
    <t xml:space="preserve">김기훈</t>
  </si>
  <si>
    <t xml:space="preserve">부장</t>
  </si>
  <si>
    <t xml:space="preserve">김용호 프로 측 설명·조율</t>
  </si>
  <si>
    <t xml:space="preserve">이한정 (Cecilia)</t>
  </si>
  <si>
    <t xml:space="preserve">실무 주도 / 08:00 보고</t>
  </si>
  <si>
    <t xml:space="preserve">실무 주도 / 18:00 보고, AX개발팀 실무방</t>
  </si>
  <si>
    <t xml:space="preserve">그룹</t>
  </si>
  <si>
    <t xml:space="preserve">차병석</t>
  </si>
  <si>
    <t xml:space="preserve">부사장/팀장 브랜드PR팀</t>
  </si>
  <si>
    <t xml:space="preserve">안내메일 발신, 백사장님 통합보고</t>
  </si>
  <si>
    <t xml:space="preserve">bs.cha@samsung.com</t>
  </si>
  <si>
    <t xml:space="preserve">박상권</t>
  </si>
  <si>
    <t xml:space="preserve">통합보고 일정 전달</t>
  </si>
  <si>
    <t xml:space="preserve">김용호</t>
  </si>
  <si>
    <t xml:space="preserve">프로 · 전자 PR기획그룹</t>
  </si>
  <si>
    <t xml:space="preserve">사례 실무 문의 창구</t>
  </si>
  <si>
    <t xml:space="preserve">yonghoc.kim@samsung.com</t>
  </si>
  <si>
    <r>
      <rPr>
        <sz val="10"/>
        <rFont val="맑은 고딕"/>
        <family val="0"/>
        <charset val="1"/>
      </rPr>
      <t xml:space="preserve">10.26 </t>
    </r>
    <r>
      <rPr>
        <sz val="10"/>
        <rFont val="WenQuanYi Zen Hei"/>
        <family val="2"/>
      </rPr>
      <t xml:space="preserve">통화</t>
    </r>
  </si>
  <si>
    <t xml:space="preserve">정홍욱</t>
  </si>
  <si>
    <t xml:space="preserve">상무/그룹장 국내미디어그룹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</si>
  <si>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도입 책임</t>
    </r>
  </si>
  <si>
    <t xml:space="preserve">honguk.chung@samsung.com</t>
  </si>
  <si>
    <t xml:space="preserve">이태양</t>
  </si>
  <si>
    <t xml:space="preserve">프로 국내미디어그룹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</si>
  <si>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과제 실무</t>
    </r>
  </si>
  <si>
    <r>
      <rPr>
        <sz val="10"/>
        <rFont val="맑은 고딕"/>
        <family val="0"/>
        <charset val="1"/>
      </rPr>
      <t xml:space="preserve">10.27 </t>
    </r>
    <r>
      <rPr>
        <sz val="10"/>
        <rFont val="WenQuanYi Zen Hei"/>
        <family val="2"/>
      </rPr>
      <t xml:space="preserve">메일 </t>
    </r>
    <r>
      <rPr>
        <sz val="10"/>
        <rFont val="맑은 고딕"/>
        <family val="0"/>
        <charset val="1"/>
      </rPr>
      <t xml:space="preserve">FW </t>
    </r>
    <r>
      <rPr>
        <sz val="10"/>
        <rFont val="WenQuanYi Zen Hei"/>
        <family val="2"/>
      </rPr>
      <t xml:space="preserve">받음</t>
    </r>
  </si>
  <si>
    <t xml:space="preserve">AX</t>
  </si>
  <si>
    <t xml:space="preserve">김경수</t>
  </si>
  <si>
    <t xml:space="preserve">파트장 전사 AX개발팀 (우면동)</t>
  </si>
  <si>
    <t xml:space="preserve">기술 실무 핵심</t>
  </si>
  <si>
    <t xml:space="preserve">ks0326.kim@samsung.com</t>
  </si>
  <si>
    <t xml:space="preserve">실무방</t>
  </si>
  <si>
    <t xml:space="preserve">이근택</t>
  </si>
  <si>
    <t xml:space="preserve">프로 전사 AX개발팀</t>
  </si>
  <si>
    <t xml:space="preserve">개발 실무</t>
  </si>
  <si>
    <t xml:space="preserve">안재용</t>
  </si>
  <si>
    <t xml:space="preserve">센터장 DX AX/PI센터</t>
  </si>
  <si>
    <t xml:space="preserve">공식 지원요청 수신</t>
  </si>
  <si>
    <t xml:space="preserve">미요청</t>
  </si>
  <si>
    <t xml:space="preserve">김상하</t>
  </si>
  <si>
    <t xml:space="preserve">상무 DX AX/PI센터</t>
  </si>
  <si>
    <t xml:space="preserve">경과 기록</t>
  </si>
  <si>
    <t xml:space="preserve">새 사건은 맨 아래 행에 추가</t>
  </si>
  <si>
    <t xml:space="preserve">일자</t>
  </si>
  <si>
    <t xml:space="preserve">시각</t>
  </si>
  <si>
    <t xml:space="preserve">주체</t>
  </si>
  <si>
    <t xml:space="preserve">내용</t>
  </si>
  <si>
    <t xml:space="preserve">2026-10-06</t>
  </si>
  <si>
    <t xml:space="preserve">홍보임원회의</t>
  </si>
  <si>
    <r>
      <rPr>
        <sz val="10"/>
        <rFont val="맑은 고딕"/>
        <family val="0"/>
        <charset val="1"/>
      </rPr>
      <t xml:space="preserve">'AI </t>
    </r>
    <r>
      <rPr>
        <sz val="10"/>
        <rFont val="WenQuanYi Zen Hei"/>
        <family val="2"/>
      </rPr>
      <t xml:space="preserve">활용 스크랩 하이라이트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언급</t>
    </r>
  </si>
  <si>
    <t xml:space="preserve">2026-10-12</t>
  </si>
  <si>
    <t xml:space="preserve">10:57</t>
  </si>
  <si>
    <t xml:space="preserve">정홍욱 상무</t>
  </si>
  <si>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 김경수 파트장에 </t>
    </r>
    <r>
      <rPr>
        <sz val="10"/>
        <rFont val="맑은 고딕"/>
        <family val="0"/>
        <charset val="1"/>
      </rPr>
      <t xml:space="preserve">DX(</t>
    </r>
    <r>
      <rPr>
        <sz val="10"/>
        <rFont val="WenQuanYi Zen Hei"/>
        <family val="2"/>
      </rPr>
      <t xml:space="preserve">비즈니스</t>
    </r>
    <r>
      <rPr>
        <sz val="10"/>
        <rFont val="맑은 고딕"/>
        <family val="0"/>
        <charset val="1"/>
      </rPr>
      <t xml:space="preserve">PR) </t>
    </r>
    <r>
      <rPr>
        <sz val="10"/>
        <rFont val="WenQuanYi Zen Hei"/>
        <family val="2"/>
      </rPr>
      <t xml:space="preserve">스크랩 적용 요청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샘플 전달</t>
    </r>
  </si>
  <si>
    <t xml:space="preserve">17:19</t>
  </si>
  <si>
    <t xml:space="preserve">차병석 부사장</t>
  </si>
  <si>
    <t xml:space="preserve">관계사 임원 대상 안내메일 발송 (권고: 10월 착수→11월 테스트→12월 적용)</t>
  </si>
  <si>
    <t xml:space="preserve">19:29</t>
  </si>
  <si>
    <t xml:space="preserve">김경수 파트장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</si>
  <si>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샘플 테스트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그룹과 양식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성능 유사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특이 편집 기사 미적용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학습 시 샘플 </t>
    </r>
    <r>
      <rPr>
        <sz val="10"/>
        <rFont val="맑은 고딕"/>
        <family val="0"/>
        <charset val="1"/>
      </rPr>
      <t xml:space="preserve">50+)</t>
    </r>
  </si>
  <si>
    <t xml:space="preserve">2026-10-13</t>
  </si>
  <si>
    <t xml:space="preserve">07:15</t>
  </si>
  <si>
    <t xml:space="preserve">김인철 상무</t>
  </si>
  <si>
    <t xml:space="preserve">안내메일 FW: '팀장님께서는 양진호, 이한정님에게 맡길 요량'. 이한정 수신 누락, 구두 지시 없음</t>
  </si>
  <si>
    <t xml:space="preserve">07:18</t>
  </si>
  <si>
    <t xml:space="preserve">특이 편집 기사 추가 학습 불필요</t>
  </si>
  <si>
    <t xml:space="preserve">팀장님</t>
  </si>
  <si>
    <t xml:space="preserve">이한정에게 전화: '전사 AX 과제 왜 안 하고 있어?'</t>
  </si>
  <si>
    <t xml:space="preserve">17:11</t>
  </si>
  <si>
    <r>
      <rPr>
        <sz val="10"/>
        <rFont val="맑은 고딕"/>
        <family val="0"/>
        <charset val="1"/>
      </rPr>
      <t xml:space="preserve">DS</t>
    </r>
    <r>
      <rPr>
        <sz val="10"/>
        <rFont val="WenQuanYi Zen Hei"/>
        <family val="2"/>
      </rPr>
      <t xml:space="preserve">만 피드백 없음 지적</t>
    </r>
  </si>
  <si>
    <t xml:space="preserve">17:14</t>
  </si>
  <si>
    <t xml:space="preserve">담당 지정: 양진호·이한정. 오늘 중 김용호 연락. '제 불찰'로 팀장님께 보고</t>
  </si>
  <si>
    <t xml:space="preserve">17:18</t>
  </si>
  <si>
    <t xml:space="preserve">이정섭 파트장</t>
  </si>
  <si>
    <t xml:space="preserve">보고방 개설</t>
  </si>
  <si>
    <t xml:space="preserve">오늘 중 김용호 컨택, 수시 보고, 팀장님 보고용 정리</t>
  </si>
  <si>
    <t xml:space="preserve">17:38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</si>
  <si>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보고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김용호 통화</t>
    </r>
    <r>
      <rPr>
        <sz val="10"/>
        <rFont val="맑은 고딕"/>
        <family val="0"/>
        <charset val="1"/>
      </rPr>
      <t xml:space="preserve">, DX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개발팀과 진행 중</t>
    </r>
    <r>
      <rPr>
        <sz val="10"/>
        <rFont val="맑은 고딕"/>
        <family val="0"/>
        <charset val="1"/>
      </rPr>
      <t xml:space="preserve">, DS </t>
    </r>
    <r>
      <rPr>
        <sz val="10"/>
        <rFont val="WenQuanYi Zen Hei"/>
        <family val="2"/>
      </rPr>
      <t xml:space="preserve">양식 맞춤 개발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테스트 필요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이태양 연락</t>
    </r>
  </si>
  <si>
    <t xml:space="preserve">17:44</t>
  </si>
  <si>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와 가능하면 동일 시점 도입 지시</t>
    </r>
  </si>
  <si>
    <t xml:space="preserve">17:45</t>
  </si>
  <si>
    <t xml:space="preserve">매일 08:00 이한정 / 18:00 양진호 보고, 텔레그램 전환 지시</t>
  </si>
  <si>
    <t xml:space="preserve">17:46</t>
  </si>
  <si>
    <t xml:space="preserve">차병석 부사장 → 백사장님 각 사별 통합 보고 예정</t>
  </si>
  <si>
    <t xml:space="preserve">김기훈 부장: 김용호 측 잘 설명</t>
  </si>
  <si>
    <t xml:space="preserve">17:49</t>
  </si>
  <si>
    <t xml:space="preserve">필요하면 직접 찾아가 만날 것</t>
  </si>
  <si>
    <t xml:space="preserve">07:43</t>
  </si>
  <si>
    <t xml:space="preserve">이태양 프로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</si>
  <si>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메일스레드 </t>
    </r>
    <r>
      <rPr>
        <sz val="10"/>
        <rFont val="맑은 고딕"/>
        <family val="0"/>
        <charset val="1"/>
      </rPr>
      <t xml:space="preserve">FW (</t>
    </r>
    <r>
      <rPr>
        <sz val="10"/>
        <rFont val="WenQuanYi Zen Hei"/>
        <family val="2"/>
      </rPr>
      <t xml:space="preserve">선행조건 안내 포함</t>
    </r>
    <r>
      <rPr>
        <sz val="10"/>
        <rFont val="맑은 고딕"/>
        <family val="0"/>
        <charset val="1"/>
      </rPr>
      <t xml:space="preserve">)</t>
    </r>
  </si>
  <si>
    <t xml:space="preserve">08:01</t>
  </si>
  <si>
    <r>
      <rPr>
        <sz val="10"/>
        <rFont val="맑은 고딕"/>
        <family val="0"/>
        <charset val="1"/>
      </rPr>
      <t xml:space="preserve">'?' (</t>
    </r>
    <r>
      <rPr>
        <sz val="10"/>
        <rFont val="WenQuanYi Zen Hei"/>
        <family val="2"/>
      </rPr>
      <t xml:space="preserve">보고 재촉</t>
    </r>
    <r>
      <rPr>
        <sz val="10"/>
        <rFont val="맑은 고딕"/>
        <family val="0"/>
        <charset val="1"/>
      </rPr>
      <t xml:space="preserve">)</t>
    </r>
  </si>
  <si>
    <t xml:space="preserve">08:03</t>
  </si>
  <si>
    <t xml:space="preserve">정기 보고: 팀장님 명의 공식 요청 필요, AX개발팀 실무방 개설, DX 도입일 미정(개발팀도 미확인), DS 보안 절차 확인 필요</t>
  </si>
  <si>
    <t xml:space="preserve">09:11</t>
  </si>
  <si>
    <t xml:space="preserve">보고 가이드: 오전=당일 진행계획, 오후=당일 진행결과. 둘을 무 자르듯 분리(재방송 방지), 08:00은 전날 작성 후 예약 발신</t>
  </si>
  <si>
    <t xml:space="preserve">보고방 텔레그램 전환 완료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</si>
  <si>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예상 일정 확인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그룹 권고 일정에 맞춰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월 테스트</t>
    </r>
    <r>
      <rPr>
        <sz val="10"/>
        <rFont val="맑은 고딕"/>
        <family val="0"/>
        <charset val="1"/>
      </rPr>
      <t xml:space="preserve">, 12</t>
    </r>
    <r>
      <rPr>
        <sz val="10"/>
        <rFont val="WenQuanYi Zen Hei"/>
        <family val="2"/>
      </rPr>
      <t xml:space="preserve">월 적용</t>
    </r>
  </si>
  <si>
    <t xml:space="preserve">정기 보고</t>
  </si>
  <si>
    <t xml:space="preserve">오전 08:00 = 당일 진행계획 (이한정) / 오후 18:00 = 당일 진행결과 (양진호) · 김기훈 부장 가이드(10.27 09:11~09:16)</t>
  </si>
  <si>
    <t xml:space="preserve">보고 원칙</t>
  </si>
  <si>
    <t xml:space="preserve">오전 08:00은 계획만, 오후 18:00은 결과만. 계획에 결과 섞지 않고, 결과에 내일 계획 섞지 않기 → '재방송' 느낌 방지</t>
  </si>
  <si>
    <r>
      <rPr>
        <b val="true"/>
        <sz val="10"/>
        <rFont val="맑은 고딕"/>
        <family val="0"/>
        <charset val="1"/>
      </rPr>
      <t xml:space="preserve">08:00 </t>
    </r>
    <r>
      <rPr>
        <b val="true"/>
        <sz val="10"/>
        <rFont val="WenQuanYi Zen Hei"/>
        <family val="2"/>
      </rPr>
      <t xml:space="preserve">계획</t>
    </r>
  </si>
  <si>
    <t xml:space="preserve">① 전체 과정 중 현재 위치 (어제까지 진척) ② 오늘 할 협의·작업 (담당·대상) ③ 막히는 지점·해결 필요 사항</t>
  </si>
  <si>
    <r>
      <rPr>
        <b val="true"/>
        <sz val="10"/>
        <rFont val="맑은 고딕"/>
        <family val="0"/>
        <charset val="1"/>
      </rPr>
      <t xml:space="preserve">18:00 </t>
    </r>
    <r>
      <rPr>
        <b val="true"/>
        <sz val="10"/>
        <rFont val="WenQuanYi Zen Hei"/>
        <family val="2"/>
      </rPr>
      <t xml:space="preserve">결과</t>
    </r>
  </si>
  <si>
    <t xml:space="preserve">아침 계획 항목별로 ✅완료 / 🟡진행중 / ⛔지연(사유·조치). 속도 나서 추가로 간 것이 있으면 덧붙임</t>
  </si>
  <si>
    <t xml:space="preserve">작성 요령</t>
  </si>
  <si>
    <r>
      <rPr>
        <sz val="10"/>
        <rFont val="맑은 고딕"/>
        <family val="0"/>
        <charset val="1"/>
      </rPr>
      <t xml:space="preserve">18:00~08:00 </t>
    </r>
    <r>
      <rPr>
        <sz val="10"/>
        <rFont val="WenQuanYi Zen Hei"/>
        <family val="2"/>
      </rPr>
      <t xml:space="preserve">사이엔 진척이 없으므로 </t>
    </r>
    <r>
      <rPr>
        <sz val="10"/>
        <rFont val="맑은 고딕"/>
        <family val="0"/>
        <charset val="1"/>
      </rPr>
      <t xml:space="preserve">08:00 </t>
    </r>
    <r>
      <rPr>
        <sz val="10"/>
        <rFont val="WenQuanYi Zen Hei"/>
        <family val="2"/>
      </rPr>
      <t xml:space="preserve">보고는 전날 퇴근 전 작성 → 예약 발신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사람이 퇴근 전 다음날 계획 미리 맞추기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수건돌리기</t>
    </r>
    <r>
      <rPr>
        <sz val="10"/>
        <rFont val="맑은 고딕"/>
        <family val="0"/>
        <charset val="1"/>
      </rPr>
      <t xml:space="preserve">)</t>
    </r>
  </si>
  <si>
    <t xml:space="preserve">연결</t>
  </si>
  <si>
    <t xml:space="preserve">오전 계획 항목 = 오후 결과 항목이 1:1로 대응되도록 같은 번호 사용</t>
  </si>
  <si>
    <t xml:space="preserve">유형</t>
  </si>
  <si>
    <t xml:space="preserve">보고자</t>
  </si>
  <si>
    <t xml:space="preserve">핵심 요약</t>
  </si>
  <si>
    <t xml:space="preserve">원문</t>
  </si>
  <si>
    <t xml:space="preserve">양식</t>
  </si>
  <si>
    <t xml:space="preserve">08:00</t>
  </si>
  <si>
    <t xml:space="preserve">계획</t>
  </si>
  <si>
    <t xml:space="preserve">현재 단계 / 오늘 할 일 / 막힌 점</t>
  </si>
  <si>
    <r>
      <rPr>
        <sz val="10"/>
        <rFont val="맑은 고딕"/>
        <family val="0"/>
        <charset val="1"/>
      </rPr>
      <t xml:space="preserve">&lt;</t>
    </r>
    <r>
      <rPr>
        <sz val="10"/>
        <rFont val="WenQuanYi Zen Hei"/>
        <family val="2"/>
      </rPr>
      <t xml:space="preserve">스크랩 하이라이트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도입</t>
    </r>
    <r>
      <rPr>
        <sz val="10"/>
        <rFont val="맑은 고딕"/>
        <family val="0"/>
        <charset val="1"/>
      </rPr>
      <t xml:space="preserve">&gt;
</t>
    </r>
    <r>
      <rPr>
        <sz val="10"/>
        <rFont val="WenQuanYi Zen Hei"/>
        <family val="2"/>
      </rPr>
      <t xml:space="preserve">금일 진행계획 보고드립니다</t>
    </r>
    <r>
      <rPr>
        <sz val="10"/>
        <rFont val="맑은 고딕"/>
        <family val="0"/>
        <charset val="1"/>
      </rPr>
      <t xml:space="preserve">. (MM.DD)
1. </t>
    </r>
    <r>
      <rPr>
        <sz val="10"/>
        <rFont val="WenQuanYi Zen Hei"/>
        <family val="2"/>
      </rPr>
      <t xml:space="preserve">현재 단계
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전체 과정 중 위치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요청 → 샘플 테스트 → 세팅 → 병행 테스트 → 적용</t>
    </r>
    <r>
      <rPr>
        <sz val="10"/>
        <rFont val="맑은 고딕"/>
        <family val="0"/>
        <charset val="1"/>
      </rPr>
      <t xml:space="preserve">)
 - </t>
    </r>
    <r>
      <rPr>
        <sz val="10"/>
        <rFont val="WenQuanYi Zen Hei"/>
        <family val="2"/>
      </rPr>
      <t xml:space="preserve">전일 진척</t>
    </r>
    <r>
      <rPr>
        <sz val="10"/>
        <rFont val="맑은 고딕"/>
        <family val="0"/>
        <charset val="1"/>
      </rPr>
      <t xml:space="preserve">: (</t>
    </r>
    <r>
      <rPr>
        <sz val="10"/>
        <rFont val="WenQuanYi Zen Hei"/>
        <family val="2"/>
      </rPr>
      <t xml:space="preserve">있을 때만 한 줄</t>
    </r>
    <r>
      <rPr>
        <sz val="10"/>
        <rFont val="맑은 고딕"/>
        <family val="0"/>
        <charset val="1"/>
      </rPr>
      <t xml:space="preserve">)
2. </t>
    </r>
    <r>
      <rPr>
        <sz val="10"/>
        <rFont val="WenQuanYi Zen Hei"/>
        <family val="2"/>
      </rPr>
      <t xml:space="preserve">금일 진행계획
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협의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작업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담당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대상
② 
③ 
</t>
    </r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이슈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해결 필요
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막히는 지점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필요한 결재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지원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이 상 </t>
    </r>
    <r>
      <rPr>
        <sz val="10"/>
        <rFont val="맑은 고딕"/>
        <family val="0"/>
        <charset val="1"/>
      </rPr>
      <t xml:space="preserve">-</t>
    </r>
  </si>
  <si>
    <t xml:space="preserve">18:00</t>
  </si>
  <si>
    <t xml:space="preserve">결과</t>
  </si>
  <si>
    <t xml:space="preserve">아침 계획 항목별 결과 / 추가 진척 / 지연</t>
  </si>
  <si>
    <r>
      <rPr>
        <sz val="10"/>
        <rFont val="맑은 고딕"/>
        <family val="0"/>
        <charset val="1"/>
      </rPr>
      <t xml:space="preserve">&lt;</t>
    </r>
    <r>
      <rPr>
        <sz val="10"/>
        <rFont val="WenQuanYi Zen Hei"/>
        <family val="2"/>
      </rPr>
      <t xml:space="preserve">스크랩 하이라이트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도입</t>
    </r>
    <r>
      <rPr>
        <sz val="10"/>
        <rFont val="맑은 고딕"/>
        <family val="0"/>
        <charset val="1"/>
      </rPr>
      <t xml:space="preserve">&gt;
</t>
    </r>
    <r>
      <rPr>
        <sz val="10"/>
        <rFont val="WenQuanYi Zen Hei"/>
        <family val="2"/>
      </rPr>
      <t xml:space="preserve">금일 진행결과 보고드립니다</t>
    </r>
    <r>
      <rPr>
        <sz val="10"/>
        <rFont val="맑은 고딕"/>
        <family val="0"/>
        <charset val="1"/>
      </rPr>
      <t xml:space="preserve">. (MM.DD)
1. </t>
    </r>
    <r>
      <rPr>
        <sz val="10"/>
        <rFont val="WenQuanYi Zen Hei"/>
        <family val="2"/>
      </rPr>
      <t xml:space="preserve">계획 대비 결과
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아침 계획 ①</t>
    </r>
    <r>
      <rPr>
        <sz val="10"/>
        <rFont val="맑은 고딕"/>
        <family val="0"/>
        <charset val="1"/>
      </rPr>
      <t xml:space="preserve">) — ✅</t>
    </r>
    <r>
      <rPr>
        <sz val="10"/>
        <rFont val="WenQuanYi Zen Hei"/>
        <family val="2"/>
      </rPr>
      <t xml:space="preserve">완료 </t>
    </r>
    <r>
      <rPr>
        <sz val="10"/>
        <rFont val="맑은 고딕"/>
        <family val="0"/>
        <charset val="1"/>
      </rPr>
      <t xml:space="preserve">/ 🟡</t>
    </r>
    <r>
      <rPr>
        <sz val="10"/>
        <rFont val="WenQuanYi Zen Hei"/>
        <family val="2"/>
      </rPr>
      <t xml:space="preserve">진행중 </t>
    </r>
    <r>
      <rPr>
        <sz val="10"/>
        <rFont val="맑은 고딕"/>
        <family val="0"/>
        <charset val="1"/>
      </rPr>
      <t xml:space="preserve">/ ⛔</t>
    </r>
    <r>
      <rPr>
        <sz val="10"/>
        <rFont val="WenQuanYi Zen Hei"/>
        <family val="2"/>
      </rPr>
      <t xml:space="preserve">지연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결과 내용
② 
③ 
</t>
    </r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추가 진척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있을 때만</t>
    </r>
    <r>
      <rPr>
        <sz val="10"/>
        <rFont val="맑은 고딕"/>
        <family val="0"/>
        <charset val="1"/>
      </rPr>
      <t xml:space="preserve">)
□ 
3. </t>
    </r>
    <r>
      <rPr>
        <sz val="10"/>
        <rFont val="WenQuanYi Zen Hei"/>
        <family val="2"/>
      </rPr>
      <t xml:space="preserve">지연 사유 및 조치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있을 때만</t>
    </r>
    <r>
      <rPr>
        <sz val="10"/>
        <rFont val="맑은 고딕"/>
        <family val="0"/>
        <charset val="1"/>
      </rPr>
      <t xml:space="preserve">)
□ 
- </t>
    </r>
    <r>
      <rPr>
        <sz val="10"/>
        <rFont val="WenQuanYi Zen Hei"/>
        <family val="2"/>
      </rPr>
      <t xml:space="preserve">이 상 </t>
    </r>
    <r>
      <rPr>
        <sz val="10"/>
        <rFont val="맑은 고딕"/>
        <family val="0"/>
        <charset val="1"/>
      </rPr>
      <t xml:space="preserve">-</t>
    </r>
  </si>
  <si>
    <t xml:space="preserve">현황·계획</t>
  </si>
  <si>
    <t xml:space="preserve">공식 요청메일 필요, AX 실무방 개설, DX 도입일 미정(개발팀도 미확인), DS 보안절차 확인 필요 (※ 원칙 확정 전 첫 보고)</t>
  </si>
  <si>
    <r>
      <rPr>
        <sz val="10"/>
        <rFont val="맑은 고딕"/>
        <family val="0"/>
        <charset val="1"/>
      </rPr>
      <t xml:space="preserve">&lt;</t>
    </r>
    <r>
      <rPr>
        <sz val="10"/>
        <rFont val="WenQuanYi Zen Hei"/>
        <family val="2"/>
      </rPr>
      <t xml:space="preserve">스크랩 하이라이트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도입</t>
    </r>
    <r>
      <rPr>
        <sz val="10"/>
        <rFont val="맑은 고딕"/>
        <family val="0"/>
        <charset val="1"/>
      </rPr>
      <t xml:space="preserve">&gt;
</t>
    </r>
    <r>
      <rPr>
        <sz val="10"/>
        <rFont val="WenQuanYi Zen Hei"/>
        <family val="2"/>
      </rPr>
      <t xml:space="preserve">관련 보고드립니다
</t>
    </r>
    <r>
      <rPr>
        <sz val="10"/>
        <rFont val="맑은 고딕"/>
        <family val="0"/>
        <charset val="1"/>
      </rPr>
      <t xml:space="preserve">1. DX AX</t>
    </r>
    <r>
      <rPr>
        <sz val="10"/>
        <rFont val="WenQuanYi Zen Hei"/>
        <family val="2"/>
      </rPr>
      <t xml:space="preserve">개발팀 문의 내용
□ </t>
    </r>
    <r>
      <rPr>
        <sz val="10"/>
        <rFont val="맑은 고딕"/>
        <family val="0"/>
        <charset val="1"/>
      </rPr>
      <t xml:space="preserve">DX AX</t>
    </r>
    <r>
      <rPr>
        <sz val="10"/>
        <rFont val="WenQuanYi Zen Hei"/>
        <family val="2"/>
      </rPr>
      <t xml:space="preserve">개발팀에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적용 요청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부문 간 지원 절차상
     컴팀장님 명의 공식 지원
     요청 메일이 필요하다는 답변
   </t>
    </r>
    <r>
      <rPr>
        <sz val="10"/>
        <rFont val="맑은 고딕"/>
        <family val="0"/>
        <charset val="1"/>
      </rPr>
      <t xml:space="preserve">- DX AX/PI</t>
    </r>
    <r>
      <rPr>
        <sz val="10"/>
        <rFont val="WenQuanYi Zen Hei"/>
        <family val="2"/>
      </rPr>
      <t xml:space="preserve">센터 </t>
    </r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
    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우면동 소재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김경수 파트장</t>
    </r>
    <r>
      <rPr>
        <sz val="10"/>
        <rFont val="맑은 고딕"/>
        <family val="0"/>
        <charset val="1"/>
      </rPr>
      <t xml:space="preserve">·
     </t>
    </r>
    <r>
      <rPr>
        <sz val="10"/>
        <rFont val="WenQuanYi Zen Hei"/>
        <family val="2"/>
      </rPr>
      <t xml:space="preserve">이근택 프로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양진호님과
     실무 대화방 개설
   </t>
    </r>
    <r>
      <rPr>
        <sz val="10"/>
        <rFont val="맑은 고딕"/>
        <family val="0"/>
        <charset val="1"/>
      </rPr>
      <t xml:space="preserve">- DX </t>
    </r>
    <r>
      <rPr>
        <sz val="10"/>
        <rFont val="WenQuanYi Zen Hei"/>
        <family val="2"/>
      </rPr>
      <t xml:space="preserve">도입 일정과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동시
     적용을 위한 준비자료</t>
    </r>
    <r>
      <rPr>
        <sz val="10"/>
        <rFont val="맑은 고딕"/>
        <family val="0"/>
        <charset val="1"/>
      </rPr>
      <t xml:space="preserve">·
     </t>
    </r>
    <r>
      <rPr>
        <sz val="10"/>
        <rFont val="WenQuanYi Zen Hei"/>
        <family val="2"/>
      </rPr>
      <t xml:space="preserve">보안 확인사항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 작업
     범위 문의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김경수 파트장은 팀장님께서
     </t>
    </r>
    <r>
      <rPr>
        <sz val="10"/>
        <rFont val="맑은 고딕"/>
        <family val="0"/>
        <charset val="1"/>
      </rPr>
      <t xml:space="preserve">DX AX/PI</t>
    </r>
    <r>
      <rPr>
        <sz val="10"/>
        <rFont val="WenQuanYi Zen Hei"/>
        <family val="2"/>
      </rPr>
      <t xml:space="preserve">센터 안재용 센터장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김상하 상무에게 공식 요청 시 
     지원 가능 안내
</t>
    </r>
    <r>
      <rPr>
        <sz val="10"/>
        <rFont val="맑은 고딕"/>
        <family val="0"/>
        <charset val="1"/>
      </rPr>
      <t xml:space="preserve">2. DX </t>
    </r>
    <r>
      <rPr>
        <sz val="10"/>
        <rFont val="WenQuanYi Zen Hei"/>
        <family val="2"/>
      </rPr>
      <t xml:space="preserve">진행 현황
□ </t>
    </r>
    <r>
      <rPr>
        <sz val="10"/>
        <rFont val="맑은 고딕"/>
        <family val="0"/>
        <charset val="1"/>
      </rPr>
      <t xml:space="preserve">DX</t>
    </r>
    <r>
      <rPr>
        <sz val="10"/>
        <rFont val="WenQuanYi Zen Hei"/>
        <family val="2"/>
      </rPr>
      <t xml:space="preserve">는 샘플 테스트 결과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별도 기술 파이프라인 수정 없이
     적용 가능한 것으로 확인
     구체적인 도입일은 미정
   </t>
    </r>
    <r>
      <rPr>
        <sz val="10"/>
        <rFont val="맑은 고딕"/>
        <family val="0"/>
        <charset val="1"/>
      </rPr>
      <t xml:space="preserve">- DX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10.12</t>
    </r>
    <r>
      <rPr>
        <sz val="10"/>
        <rFont val="WenQuanYi Zen Hei"/>
        <family val="2"/>
      </rPr>
      <t xml:space="preserve">일 스크랩 샘플
     전달 및 테스트 진행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그룹 스크랩과 양식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성능
     유사 확인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특수 편집 기사는 자동
     하이라이트 미적용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추가 학습 없이 진행 예정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현재 시스템 적용 요건 확인 중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세부 일정은 개발팀도 미확인
</t>
    </r>
    <r>
      <rPr>
        <sz val="10"/>
        <rFont val="맑은 고딕"/>
        <family val="0"/>
        <charset val="1"/>
      </rPr>
      <t xml:space="preserve">3. DS </t>
    </r>
    <r>
      <rPr>
        <sz val="10"/>
        <rFont val="WenQuanYi Zen Hei"/>
        <family val="2"/>
      </rPr>
      <t xml:space="preserve">적용 준비
□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샘플 테스트를 통한
     추가 작업 범위 확인과
     보안 요건 점검 필요
   </t>
    </r>
    <r>
      <rPr>
        <sz val="10"/>
        <rFont val="맑은 고딕"/>
        <family val="0"/>
        <charset val="1"/>
      </rPr>
      <t xml:space="preserve">- DS </t>
    </r>
    <r>
      <rPr>
        <sz val="10"/>
        <rFont val="WenQuanYi Zen Hei"/>
        <family val="2"/>
      </rPr>
      <t xml:space="preserve">스크랩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수기 하이라이트
     샘플로 기존 프로그램
     적용 가능 여부 확인
   </t>
    </r>
    <r>
      <rPr>
        <sz val="10"/>
        <rFont val="맑은 고딕"/>
        <family val="0"/>
        <charset val="1"/>
      </rPr>
      <t xml:space="preserve">- OCR </t>
    </r>
    <r>
      <rPr>
        <sz val="10"/>
        <rFont val="WenQuanYi Zen Hei"/>
        <family val="2"/>
      </rPr>
      <t xml:space="preserve">서버 접속용 방화벽 등록</t>
    </r>
    <r>
      <rPr>
        <sz val="10"/>
        <rFont val="맑은 고딕"/>
        <family val="0"/>
        <charset val="1"/>
      </rPr>
      <t xml:space="preserve">,
     NASCA/DRM </t>
    </r>
    <r>
      <rPr>
        <sz val="10"/>
        <rFont val="WenQuanYi Zen Hei"/>
        <family val="2"/>
      </rPr>
      <t xml:space="preserve">프로그램
     신뢰 등록 등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보안 절차와
     소요 기간 확인
</t>
    </r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향후 계획
□ 팀장님 명의로 안재용 센터장</t>
    </r>
    <r>
      <rPr>
        <sz val="10"/>
        <rFont val="맑은 고딕"/>
        <family val="0"/>
        <charset val="1"/>
      </rPr>
      <t xml:space="preserve">·
     </t>
    </r>
    <r>
      <rPr>
        <sz val="10"/>
        <rFont val="WenQuanYi Zen Hei"/>
        <family val="2"/>
      </rPr>
      <t xml:space="preserve">김상하 상무에게 개발 지원
     메일 발송 필요
   </t>
    </r>
    <r>
      <rPr>
        <sz val="10"/>
        <rFont val="맑은 고딕"/>
        <family val="0"/>
        <charset val="1"/>
      </rPr>
      <t xml:space="preserve">- DX</t>
    </r>
    <r>
      <rPr>
        <sz val="10"/>
        <rFont val="WenQuanYi Zen Hei"/>
        <family val="2"/>
      </rPr>
      <t xml:space="preserve">와 동시 도입을 위한
     적용 검토 및 개발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테스트
     지원 요청
□ </t>
    </r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도입 일정 기준으로
    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적용 선결사항과
     작업별 완료 기한 설정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지원 요청과 병행해
    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샘플 준비 및 개발팀
     테스트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방문 일정 협의
  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보안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시스템 준비는
     관련 부서와 병행 추진</t>
    </r>
    <r>
      <rPr>
        <sz val="10"/>
        <rFont val="맑은 고딕"/>
        <family val="0"/>
        <charset val="1"/>
      </rPr>
      <t xml:space="preserve">,
     </t>
    </r>
    <r>
      <rPr>
        <sz val="10"/>
        <rFont val="WenQuanYi Zen Hei"/>
        <family val="2"/>
      </rPr>
      <t xml:space="preserve">항목별 담당자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완료 기한 설정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이 상 </t>
    </r>
    <r>
      <rPr>
        <sz val="10"/>
        <rFont val="맑은 고딕"/>
        <family val="0"/>
        <charset val="1"/>
      </rPr>
      <t xml:space="preserve">-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</si>
  <si>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초안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오전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향후 계획</t>
    </r>
    <r>
      <rPr>
        <sz val="10"/>
        <rFont val="맑은 고딕"/>
        <family val="0"/>
        <charset val="1"/>
      </rPr>
      <t xml:space="preserve">' 4</t>
    </r>
    <r>
      <rPr>
        <sz val="10"/>
        <rFont val="WenQuanYi Zen Hei"/>
        <family val="2"/>
      </rPr>
      <t xml:space="preserve">개 항목 기준</t>
    </r>
  </si>
  <si>
    <r>
      <rPr>
        <sz val="10"/>
        <rFont val="맑은 고딕"/>
        <family val="0"/>
        <charset val="1"/>
      </rPr>
      <t xml:space="preserve">&lt;</t>
    </r>
    <r>
      <rPr>
        <sz val="10"/>
        <rFont val="WenQuanYi Zen Hei"/>
        <family val="2"/>
      </rPr>
      <t xml:space="preserve">스크랩 하이라이트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도입</t>
    </r>
    <r>
      <rPr>
        <sz val="10"/>
        <rFont val="맑은 고딕"/>
        <family val="0"/>
        <charset val="1"/>
      </rPr>
      <t xml:space="preserve">&gt;
</t>
    </r>
    <r>
      <rPr>
        <sz val="10"/>
        <rFont val="WenQuanYi Zen Hei"/>
        <family val="2"/>
      </rPr>
      <t xml:space="preserve">금일 진행결과 보고드립니다</t>
    </r>
    <r>
      <rPr>
        <sz val="10"/>
        <rFont val="맑은 고딕"/>
        <family val="0"/>
        <charset val="1"/>
      </rPr>
      <t xml:space="preserve">. (10.27)
※ </t>
    </r>
    <r>
      <rPr>
        <sz val="10"/>
        <rFont val="WenQuanYi Zen Hei"/>
        <family val="2"/>
      </rPr>
      <t xml:space="preserve">오전 보고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향후 계획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항목 기준 — 결과 확인 후 채울 것
</t>
    </r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계획 대비 결과
① 팀장님 명의 개발지원 요청 메일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안재용 센터장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김상하 상무</t>
    </r>
    <r>
      <rPr>
        <sz val="10"/>
        <rFont val="맑은 고딕"/>
        <family val="0"/>
        <charset val="1"/>
      </rPr>
      <t xml:space="preserve">)
   — [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진행중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지연</t>
    </r>
    <r>
      <rPr>
        <sz val="10"/>
        <rFont val="맑은 고딕"/>
        <family val="0"/>
        <charset val="1"/>
      </rPr>
      <t xml:space="preserve">]
   - [</t>
    </r>
    <r>
      <rPr>
        <sz val="10"/>
        <rFont val="WenQuanYi Zen Hei"/>
        <family val="2"/>
      </rPr>
      <t xml:space="preserve">초안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상무님 검토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발송 여부</t>
    </r>
    <r>
      <rPr>
        <sz val="10"/>
        <rFont val="맑은 고딕"/>
        <family val="0"/>
        <charset val="1"/>
      </rPr>
      <t xml:space="preserve">]
② DS </t>
    </r>
    <r>
      <rPr>
        <sz val="10"/>
        <rFont val="WenQuanYi Zen Hei"/>
        <family val="2"/>
      </rPr>
      <t xml:space="preserve">스크랩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수기 하이라이트 샘플 준비
   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진행중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지연</t>
    </r>
    <r>
      <rPr>
        <sz val="10"/>
        <rFont val="맑은 고딕"/>
        <family val="0"/>
        <charset val="1"/>
      </rPr>
      <t xml:space="preserve">]
   - [</t>
    </r>
    <r>
      <rPr>
        <sz val="10"/>
        <rFont val="WenQuanYi Zen Hei"/>
        <family val="2"/>
      </rPr>
      <t xml:space="preserve">목차 표지 포함 여부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묶음 기사 정보</t>
    </r>
    <r>
      <rPr>
        <sz val="10"/>
        <rFont val="맑은 고딕"/>
        <family val="0"/>
        <charset val="1"/>
      </rPr>
      <t xml:space="preserve">(set.txt) 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]
③ </t>
    </r>
    <r>
      <rPr>
        <sz val="10"/>
        <rFont val="WenQuanYi Zen Hei"/>
        <family val="2"/>
      </rPr>
      <t xml:space="preserve">개발팀 테스트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방문 일정 협의
   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진행중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지연</t>
    </r>
    <r>
      <rPr>
        <sz val="10"/>
        <rFont val="맑은 고딕"/>
        <family val="0"/>
        <charset val="1"/>
      </rPr>
      <t xml:space="preserve">]
   - [</t>
    </r>
    <r>
      <rPr>
        <sz val="10"/>
        <rFont val="WenQuanYi Zen Hei"/>
        <family val="2"/>
      </rPr>
      <t xml:space="preserve">우면동 </t>
    </r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 방문 일자</t>
    </r>
    <r>
      <rPr>
        <sz val="10"/>
        <rFont val="맑은 고딕"/>
        <family val="0"/>
        <charset val="1"/>
      </rPr>
      <t xml:space="preserve">]
④ </t>
    </r>
    <r>
      <rPr>
        <sz val="10"/>
        <rFont val="WenQuanYi Zen Hei"/>
        <family val="2"/>
      </rPr>
      <t xml:space="preserve">보안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시스템 준비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방화벽</t>
    </r>
    <r>
      <rPr>
        <sz val="10"/>
        <rFont val="맑은 고딕"/>
        <family val="0"/>
        <charset val="1"/>
      </rPr>
      <t xml:space="preserve">·NASCA/DRM·GPT Tier 4 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·PC)
   — [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진행중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지연</t>
    </r>
    <r>
      <rPr>
        <sz val="10"/>
        <rFont val="맑은 고딕"/>
        <family val="0"/>
        <charset val="1"/>
      </rPr>
      <t xml:space="preserve">]
   - [</t>
    </r>
    <r>
      <rPr>
        <sz val="10"/>
        <rFont val="WenQuanYi Zen Hei"/>
        <family val="2"/>
      </rPr>
      <t xml:space="preserve">담당 부서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소요 기간 확인 결과</t>
    </r>
    <r>
      <rPr>
        <sz val="10"/>
        <rFont val="맑은 고딕"/>
        <family val="0"/>
        <charset val="1"/>
      </rPr>
      <t xml:space="preserve">]
2. </t>
    </r>
    <r>
      <rPr>
        <sz val="10"/>
        <rFont val="WenQuanYi Zen Hei"/>
        <family val="2"/>
      </rPr>
      <t xml:space="preserve">추가 진척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있을 때만</t>
    </r>
    <r>
      <rPr>
        <sz val="10"/>
        <rFont val="맑은 고딕"/>
        <family val="0"/>
        <charset val="1"/>
      </rPr>
      <t xml:space="preserve">)
□ [DX </t>
    </r>
    <r>
      <rPr>
        <sz val="10"/>
        <rFont val="WenQuanYi Zen Hei"/>
        <family val="2"/>
      </rPr>
      <t xml:space="preserve">도입일 확인 등</t>
    </r>
    <r>
      <rPr>
        <sz val="10"/>
        <rFont val="맑은 고딕"/>
        <family val="0"/>
        <charset val="1"/>
      </rPr>
      <t xml:space="preserve">]
3. </t>
    </r>
    <r>
      <rPr>
        <sz val="10"/>
        <rFont val="WenQuanYi Zen Hei"/>
        <family val="2"/>
      </rPr>
      <t xml:space="preserve">지연 사유 및 조치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있을 때만</t>
    </r>
    <r>
      <rPr>
        <sz val="10"/>
        <rFont val="맑은 고딕"/>
        <family val="0"/>
        <charset val="1"/>
      </rPr>
      <t xml:space="preserve">)
□ 
- </t>
    </r>
    <r>
      <rPr>
        <sz val="10"/>
        <rFont val="WenQuanYi Zen Hei"/>
        <family val="2"/>
      </rPr>
      <t xml:space="preserve">이 상 </t>
    </r>
    <r>
      <rPr>
        <sz val="10"/>
        <rFont val="맑은 고딕"/>
        <family val="0"/>
        <charset val="1"/>
      </rPr>
      <t xml:space="preserve">-</t>
    </r>
  </si>
  <si>
    <r>
      <rPr>
        <b val="true"/>
        <sz val="14"/>
        <color rgb="FF1F3864"/>
        <rFont val="맑은 고딕"/>
        <family val="0"/>
        <charset val="1"/>
      </rPr>
      <t xml:space="preserve">[</t>
    </r>
    <r>
      <rPr>
        <b val="true"/>
        <sz val="14"/>
        <color rgb="FF1F3864"/>
        <rFont val="WenQuanYi Zen Hei"/>
        <family val="2"/>
      </rPr>
      <t xml:space="preserve">초안</t>
    </r>
    <r>
      <rPr>
        <b val="true"/>
        <sz val="14"/>
        <color rgb="FF1F3864"/>
        <rFont val="맑은 고딕"/>
        <family val="0"/>
        <charset val="1"/>
      </rPr>
      <t xml:space="preserve">] </t>
    </r>
    <r>
      <rPr>
        <b val="true"/>
        <sz val="14"/>
        <color rgb="FF1F3864"/>
        <rFont val="WenQuanYi Zen Hei"/>
        <family val="2"/>
      </rPr>
      <t xml:space="preserve">팀장님 명의 개발 지원 요청 메일</t>
    </r>
  </si>
  <si>
    <t xml:space="preserve">이한정·양진호 작성 → 김인철 상무 검토 → 팀장님 발송 · 노란 칸 채울 것</t>
  </si>
  <si>
    <t xml:space="preserve">발신</t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</si>
  <si>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커뮤니케이션팀장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성함</t>
    </r>
    <r>
      <rPr>
        <sz val="10"/>
        <rFont val="맑은 고딕"/>
        <family val="0"/>
        <charset val="1"/>
      </rPr>
      <t xml:space="preserve">]</t>
    </r>
  </si>
  <si>
    <t xml:space="preserve">수신</t>
  </si>
  <si>
    <r>
      <rPr>
        <sz val="10"/>
        <rFont val="맑은 고딕"/>
        <family val="0"/>
        <charset val="1"/>
      </rPr>
      <t xml:space="preserve">DX AX/PI</t>
    </r>
    <r>
      <rPr>
        <sz val="10"/>
        <rFont val="WenQuanYi Zen Hei"/>
        <family val="2"/>
      </rPr>
      <t xml:space="preserve">센터 안재용 센터장님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김상하 상무님</t>
    </r>
  </si>
  <si>
    <t xml:space="preserve">참조</t>
  </si>
  <si>
    <r>
      <rPr>
        <sz val="10"/>
        <rFont val="맑은 고딕"/>
        <family val="0"/>
        <charset val="1"/>
      </rPr>
      <t xml:space="preserve">AX</t>
    </r>
    <r>
      <rPr>
        <sz val="10"/>
        <rFont val="WenQuanYi Zen Hei"/>
        <family val="2"/>
      </rPr>
      <t xml:space="preserve">개발팀 김경수 파트장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이근택 프로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김인철 상무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양진호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이한정</t>
    </r>
  </si>
  <si>
    <t xml:space="preserve">제목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</si>
  <si>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협조 요청</t>
    </r>
    <r>
      <rPr>
        <sz val="10"/>
        <rFont val="맑은 고딕"/>
        <family val="0"/>
        <charset val="1"/>
      </rPr>
      <t xml:space="preserve">] AI </t>
    </r>
    <r>
      <rPr>
        <sz val="10"/>
        <rFont val="WenQuanYi Zen Hei"/>
        <family val="2"/>
      </rPr>
      <t xml:space="preserve">스크랩 하이라이트 기능 </t>
    </r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적용을 위한 개발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테스트 지원 요청</t>
    </r>
  </si>
  <si>
    <t xml:space="preserve">본문</t>
  </si>
  <si>
    <t xml:space="preserve">안재용 센터장님, 김상하 상무님 안녕하십니까.
DS 커뮤니케이션팀장 [성함]입니다.
차병석 부사장님께서 10.12 안내하신 「AI 활용 스크랩 개선 사례 공유 및 각사 적용 요청」과 관련하여, DS 부문도 DX와 같은 시점에 스크랩 하이라이트 기능(Newspaper_Highlight)을 도입하고자 AX/PI센터 AX개발팀의 지원을 요청드립니다.
1. 요청 사항
 - 기존 스크랩 하이라이트 프로그램의 DS 스크랩 양식 적용 검토
 - DS 양식 대응에 필요한 개발 및 테스트 지원
 - DX 도입 일정에 맞춘 DS 동시 적용 일정 협의
2. DS 준비 사항
 - DS 스크랩(목차 표지 포함) 및 수기 하이라이트 샘플, 묶음 기사 정보 제공 ([일자] 전달 예정)
 - 사용자 PC, GPT Tier 4 계정·Codex CLI, OCR API 방화벽 등록, NASCA/DRM 신뢰 등록 등 사용 환경은 DS에서 병행 준비
3. 실무 담당
 - DS 커뮤니케이션팀 양진호, 이한정 (AX개발팀 김경수 파트장·이근택 프로와 실무 협의 중)
바쁘신 중에 협조 요청드려 송구하며, 지원해 주시면 감사하겠습니다.
[성함] 드림</t>
  </si>
  <si>
    <t xml:space="preserve">원천 메일 요약</t>
  </si>
  <si>
    <t xml:space="preserve">출처</t>
  </si>
  <si>
    <t xml:space="preserve">항목</t>
  </si>
  <si>
    <t xml:space="preserve">그룹 안내</t>
  </si>
  <si>
    <t xml:space="preserve">발신·일시</t>
  </si>
  <si>
    <t xml:space="preserve">차병석 부사장 (bs.cha@samsung.com) 2026-10-12 17:19, 첨부 260930_스크랩_관계사_공유.pdf</t>
  </si>
  <si>
    <t xml:space="preserve">기능</t>
  </si>
  <si>
    <t xml:space="preserve">스크랩 PDF 기사 핵심 문장 AI 자동 하이라이트. 그룹 스크랩 9.14부터 운영</t>
  </si>
  <si>
    <t xml:space="preserve">권고 일정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</si>
  <si>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 개발착수 →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월 테스트 →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 적용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연내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각사 커뮤니케이션팀 주관</t>
    </r>
  </si>
  <si>
    <t xml:space="preserve">원칙 ①</t>
  </si>
  <si>
    <t xml:space="preserve">제목/부제 관련 본문 주요 문장 표시</t>
  </si>
  <si>
    <t xml:space="preserve">원칙 ②</t>
  </si>
  <si>
    <t xml:space="preserve">동일 이슈 연속 기사는 두 번째부터 중복 아닌 핵심 문장만 (사진·그래픽 제외)</t>
  </si>
  <si>
    <t xml:space="preserve">UI</t>
  </si>
  <si>
    <t xml:space="preserve">입력 폴더(PDF+set.txt)/출력 폴더 지정 후 실행 → 150p 기준 5~7분</t>
  </si>
  <si>
    <t xml:space="preserve">처리 과정</t>
  </si>
  <si>
    <t xml:space="preserve">① 레이아웃 분석·OCR (GPU 서버, AX개발팀) ② AI 판단 (외부 ChatGPT) ③ PDF 생성 (일반 PC, 고사양 권장)</t>
  </si>
  <si>
    <t xml:space="preserve">노하우</t>
  </si>
  <si>
    <t xml:space="preserve">묶음 구간은 사람이 set.txt에 지정 / Adobe 하이라이트 호환(삭제·추가) / 실무자 수기 하이라이트 샘플을 학습용 제공</t>
  </si>
  <si>
    <t xml:space="preserve">개발 경과</t>
  </si>
  <si>
    <t xml:space="preserve">개발 7.20~8.27 (킥오프, 개발의뢰서·스크랩 샘플·수기 샘플 전달) → 테스트 8.27~9.12 (서초 19층, 매일 새벽 실행·피드백) → 운영 9.14~</t>
  </si>
  <si>
    <t xml:space="preserve">피드백 예</t>
  </si>
  <si>
    <t xml:space="preserve">인터뷰 기사 선대회장 업적 문장 누락 / 업계 기사에서 당사 대신 경쟁사 CEO 멘트만 → 균형 조정</t>
  </si>
  <si>
    <t xml:space="preserve">고려사항</t>
  </si>
  <si>
    <r>
      <rPr>
        <sz val="10"/>
        <rFont val="맑은 고딕"/>
        <family val="0"/>
        <charset val="1"/>
      </rPr>
      <t xml:space="preserve">GPU </t>
    </r>
    <r>
      <rPr>
        <sz val="10"/>
        <rFont val="WenQuanYi Zen Hei"/>
        <family val="2"/>
      </rPr>
      <t xml:space="preserve">문서분석 환경 </t>
    </r>
    <r>
      <rPr>
        <sz val="10"/>
        <rFont val="맑은 고딕"/>
        <family val="0"/>
        <charset val="1"/>
      </rPr>
      <t xml:space="preserve">/ Agent </t>
    </r>
    <r>
      <rPr>
        <sz val="10"/>
        <rFont val="WenQuanYi Zen Hei"/>
        <family val="2"/>
      </rPr>
      <t xml:space="preserve">개발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유지보수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외부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전송 보안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토큰 비용 검토</t>
    </r>
  </si>
  <si>
    <t xml:space="preserve">유의</t>
  </si>
  <si>
    <t xml:space="preserve">공유 자료 범위 법무 검토 중 / 업체·관계사 거래 시 컴플라이언스 / 실무 문의 김용호 프로</t>
  </si>
  <si>
    <r>
      <rPr>
        <sz val="10"/>
        <rFont val="맑은 고딕"/>
        <family val="0"/>
        <charset val="1"/>
      </rPr>
      <t xml:space="preserve">DX </t>
    </r>
    <r>
      <rPr>
        <sz val="10"/>
        <rFont val="WenQuanYi Zen Hei"/>
        <family val="2"/>
      </rPr>
      <t xml:space="preserve">스레드</t>
    </r>
  </si>
  <si>
    <r>
      <rPr>
        <sz val="10"/>
        <rFont val="맑은 고딕"/>
        <family val="0"/>
        <charset val="1"/>
      </rPr>
      <t xml:space="preserve">10.12 </t>
    </r>
    <r>
      <rPr>
        <sz val="10"/>
        <rFont val="WenQuanYi Zen Hei"/>
        <family val="2"/>
      </rPr>
      <t xml:space="preserve">정홍욱</t>
    </r>
  </si>
  <si>
    <t xml:space="preserve">비즈니스PR팀 스크랩에도 적용 필요, 샘플 첨부. 실무 이태양</t>
  </si>
  <si>
    <r>
      <rPr>
        <sz val="10"/>
        <rFont val="맑은 고딕"/>
        <family val="0"/>
        <charset val="1"/>
      </rPr>
      <t xml:space="preserve">10.12 </t>
    </r>
    <r>
      <rPr>
        <sz val="10"/>
        <rFont val="WenQuanYi Zen Hei"/>
        <family val="2"/>
      </rPr>
      <t xml:space="preserve">김경수</t>
    </r>
  </si>
  <si>
    <t xml:space="preserve">그룹 스크랩과 거의 유사, 성능 비슷. 특이 편집 기사 미적용 (학습 시 샘플 50+)</t>
  </si>
  <si>
    <r>
      <rPr>
        <sz val="10"/>
        <rFont val="맑은 고딕"/>
        <family val="0"/>
        <charset val="1"/>
      </rPr>
      <t xml:space="preserve">10.13 </t>
    </r>
    <r>
      <rPr>
        <sz val="10"/>
        <rFont val="WenQuanYi Zen Hei"/>
        <family val="2"/>
      </rPr>
      <t xml:space="preserve">정홍욱</t>
    </r>
  </si>
  <si>
    <t xml:space="preserve">선행조건</t>
  </si>
  <si>
    <t xml:space="preserve">입력: 1p 목차 표지 포함 PDF + 묶음 txt / Win11 64bit, 16GB+ / GPT Tier 4 계정(회당 300~350 크레딧), Codex CLI 설치·로그인 / OCR API 방화벽 / NASCA 신뢰 등록</t>
  </si>
  <si>
    <r>
      <rPr>
        <sz val="10"/>
        <rFont val="맑은 고딕"/>
        <family val="0"/>
        <charset val="1"/>
      </rPr>
      <t xml:space="preserve">10.27 </t>
    </r>
    <r>
      <rPr>
        <sz val="10"/>
        <rFont val="WenQuanYi Zen Hei"/>
        <family val="2"/>
      </rPr>
      <t xml:space="preserve">이태양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</si>
  <si>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저도 잘 몰라서</t>
    </r>
    <r>
      <rPr>
        <sz val="10"/>
        <rFont val="맑은 고딕"/>
        <family val="0"/>
        <charset val="1"/>
      </rPr>
      <t xml:space="preserve">.. AX</t>
    </r>
    <r>
      <rPr>
        <sz val="10"/>
        <rFont val="WenQuanYi Zen Hei"/>
        <family val="2"/>
      </rPr>
      <t xml:space="preserve">팀 김경수 파트장님에게 도움받고 있어요</t>
    </r>
    <r>
      <rPr>
        <sz val="10"/>
        <rFont val="맑은 고딕"/>
        <family val="0"/>
        <charset val="1"/>
      </rPr>
      <t xml:space="preserve">'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</si>
</sst>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  <charset val="1"/>
    </font>
    <font>
      <sz val="9"/>
      <color rgb="FF808080"/>
      <name val="맑은 고딕"/>
      <family val="0"/>
      <charset val="1"/>
    </font>
    <font>
      <sz val="9"/>
      <color rgb="FF808080"/>
      <name val="WenQuanYi Zen Hei"/>
      <family val="2"/>
    </font>
    <font>
      <b val="true"/>
      <sz val="10"/>
      <name val="WenQuanYi Zen Hei"/>
      <family val="2"/>
      <charset val="1"/>
    </font>
    <font>
      <sz val="10"/>
      <name val="맑은 고딕"/>
      <family val="0"/>
      <charset val="1"/>
    </font>
    <font>
      <sz val="10"/>
      <name val="WenQuanYi Zen Hei"/>
      <family val="2"/>
    </font>
    <font>
      <sz val="10"/>
      <name val="WenQuanYi Zen Hei"/>
      <family val="2"/>
      <charset val="1"/>
    </font>
    <font>
      <b val="true"/>
      <sz val="12"/>
      <color rgb="FF1F3864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sz val="9"/>
      <color rgb="FF808080"/>
      <name val="WenQuanYi Zen Hei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4"/>
      <color rgb="FF1F3864"/>
      <name val="맑은 고딕"/>
      <family val="0"/>
      <charset val="1"/>
    </font>
    <font>
      <b val="true"/>
      <sz val="14"/>
      <color rgb="FF1F3864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4DF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DF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15" hidden="false" customHeight="true" outlineLevel="0" collapsed="false">
      <c r="A5" s="4" t="s">
        <v>4</v>
      </c>
      <c r="B5" s="6" t="s">
        <v>5</v>
      </c>
      <c r="C5" s="6"/>
      <c r="D5" s="6"/>
      <c r="E5" s="6"/>
      <c r="F5" s="6"/>
    </row>
    <row r="6" customFormat="false" ht="15" hidden="false" customHeight="true" outlineLevel="0" collapsed="false">
      <c r="A6" s="4" t="s">
        <v>6</v>
      </c>
      <c r="B6" s="6" t="s">
        <v>7</v>
      </c>
      <c r="C6" s="6"/>
      <c r="D6" s="6"/>
      <c r="E6" s="6"/>
      <c r="F6" s="6"/>
    </row>
    <row r="7" customFormat="false" ht="15" hidden="false" customHeight="true" outlineLevel="0" collapsed="false">
      <c r="A7" s="4" t="s">
        <v>8</v>
      </c>
      <c r="B7" s="6" t="s">
        <v>9</v>
      </c>
      <c r="C7" s="6"/>
      <c r="D7" s="6"/>
      <c r="E7" s="6"/>
      <c r="F7" s="6"/>
    </row>
    <row r="8" customFormat="false" ht="26.2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15" hidden="false" customHeight="true" outlineLevel="0" collapsed="false">
      <c r="A9" s="4" t="s">
        <v>12</v>
      </c>
      <c r="B9" s="6" t="s">
        <v>13</v>
      </c>
      <c r="C9" s="6"/>
      <c r="D9" s="6"/>
      <c r="E9" s="6"/>
      <c r="F9" s="6"/>
    </row>
    <row r="10" customFormat="false" ht="15" hidden="false" customHeight="true" outlineLevel="0" collapsed="false">
      <c r="A10" s="4" t="s">
        <v>14</v>
      </c>
      <c r="B10" s="6" t="s">
        <v>15</v>
      </c>
      <c r="C10" s="6"/>
      <c r="D10" s="6"/>
      <c r="E10" s="6"/>
      <c r="F10" s="6"/>
    </row>
    <row r="12" customFormat="false" ht="15" hidden="false" customHeight="true" outlineLevel="0" collapsed="false">
      <c r="A12" s="7" t="s">
        <v>16</v>
      </c>
    </row>
    <row r="13" customFormat="false" ht="15" hidden="false" customHeight="true" outlineLevel="0" collapsed="false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22</v>
      </c>
    </row>
    <row r="14" customFormat="false" ht="15" hidden="false" customHeight="true" outlineLevel="0" collapsed="false">
      <c r="A14" s="9" t="s">
        <v>23</v>
      </c>
      <c r="B14" s="9" t="n">
        <f aca="false">COUNTIF(할일!$F$5:$F$300,"미착수")</f>
        <v>8</v>
      </c>
      <c r="C14" s="9" t="n">
        <f aca="false">COUNTIF(할일!$F$5:$F$300,"진행중")</f>
        <v>2</v>
      </c>
      <c r="D14" s="9" t="n">
        <f aca="false">COUNTIF(할일!$F$5:$F$300,"완료")</f>
        <v>5</v>
      </c>
      <c r="E14" s="9" t="n">
        <f aca="false">COUNTIF(할일!$F$5:$F$300,"블로킹")</f>
        <v>0</v>
      </c>
      <c r="F14" s="10" t="n">
        <f aca="false">IFERROR(D14/SUM(B14:E14),0)</f>
        <v>0.333333333333333</v>
      </c>
    </row>
    <row r="15" customFormat="false" ht="15" hidden="false" customHeight="true" outlineLevel="0" collapsed="false">
      <c r="A15" s="9" t="s">
        <v>24</v>
      </c>
      <c r="B15" s="9" t="n">
        <f aca="false">COUNTIF(기술요건!$F$5:$F$300,"미착수")</f>
        <v>8</v>
      </c>
      <c r="C15" s="9" t="n">
        <f aca="false">COUNTIF(기술요건!$F$5:$F$300,"진행중")</f>
        <v>0</v>
      </c>
      <c r="D15" s="9" t="n">
        <f aca="false">COUNTIF(기술요건!$F$5:$F$300,"완료")</f>
        <v>0</v>
      </c>
      <c r="E15" s="9" t="n">
        <f aca="false">COUNTIF(기술요건!$F$5:$F$300,"블로킹")</f>
        <v>0</v>
      </c>
      <c r="F15" s="10" t="n">
        <f aca="false">IFERROR(D15/SUM(B15:E15),0)</f>
        <v>0</v>
      </c>
    </row>
    <row r="17" customFormat="false" ht="15" hidden="false" customHeight="true" outlineLevel="0" collapsed="false">
      <c r="A17" s="7" t="s">
        <v>25</v>
      </c>
    </row>
    <row r="18" customFormat="false" ht="15" hidden="false" customHeight="true" outlineLevel="0" collapsed="false">
      <c r="A18" s="11" t="s">
        <v>25</v>
      </c>
      <c r="B18" s="12" t="s">
        <v>26</v>
      </c>
      <c r="C18" s="12"/>
      <c r="D18" s="12" t="s">
        <v>27</v>
      </c>
      <c r="E18" s="12"/>
      <c r="F18" s="12"/>
    </row>
    <row r="19" customFormat="false" ht="15" hidden="false" customHeight="true" outlineLevel="0" collapsed="false">
      <c r="A19" s="13" t="s">
        <v>28</v>
      </c>
      <c r="B19" s="14" t="s">
        <v>29</v>
      </c>
      <c r="C19" s="14"/>
      <c r="D19" s="15" t="s">
        <v>30</v>
      </c>
      <c r="E19" s="15"/>
      <c r="F19" s="15"/>
    </row>
    <row r="20" customFormat="false" ht="15" hidden="false" customHeight="true" outlineLevel="0" collapsed="false">
      <c r="A20" s="16" t="s">
        <v>31</v>
      </c>
      <c r="B20" s="15" t="s">
        <v>32</v>
      </c>
      <c r="C20" s="15"/>
      <c r="D20" s="14" t="s">
        <v>33</v>
      </c>
      <c r="E20" s="14"/>
      <c r="F20" s="14"/>
    </row>
    <row r="21" customFormat="false" ht="15" hidden="false" customHeight="true" outlineLevel="0" collapsed="false">
      <c r="A21" s="13" t="s">
        <v>34</v>
      </c>
      <c r="B21" s="14" t="s">
        <v>35</v>
      </c>
      <c r="C21" s="14"/>
      <c r="D21" s="14" t="s">
        <v>36</v>
      </c>
      <c r="E21" s="14"/>
      <c r="F21" s="14"/>
    </row>
    <row r="22" customFormat="false" ht="15" hidden="false" customHeight="true" outlineLevel="0" collapsed="false">
      <c r="A22" s="13" t="s">
        <v>37</v>
      </c>
      <c r="B22" s="14" t="s">
        <v>38</v>
      </c>
      <c r="C22" s="14"/>
      <c r="D22" s="14" t="s">
        <v>39</v>
      </c>
      <c r="E22" s="14"/>
      <c r="F22" s="14"/>
    </row>
    <row r="23" customFormat="false" ht="15" hidden="false" customHeight="true" outlineLevel="0" collapsed="false">
      <c r="A23" s="13" t="s">
        <v>40</v>
      </c>
      <c r="B23" s="14" t="s">
        <v>41</v>
      </c>
      <c r="C23" s="14"/>
      <c r="D23" s="15" t="s">
        <v>42</v>
      </c>
      <c r="E23" s="15"/>
      <c r="F23" s="15"/>
    </row>
    <row r="24" customFormat="false" ht="15" hidden="false" customHeight="true" outlineLevel="0" collapsed="false">
      <c r="A24" s="16" t="s">
        <v>43</v>
      </c>
      <c r="B24" s="14" t="s">
        <v>44</v>
      </c>
      <c r="C24" s="14"/>
      <c r="D24" s="14" t="s">
        <v>45</v>
      </c>
      <c r="E24" s="14"/>
      <c r="F24" s="14"/>
    </row>
    <row r="25" customFormat="false" ht="15" hidden="false" customHeight="true" outlineLevel="0" collapsed="false">
      <c r="A25" s="13" t="s">
        <v>46</v>
      </c>
      <c r="B25" s="14" t="s">
        <v>47</v>
      </c>
      <c r="C25" s="14"/>
      <c r="D25" s="15" t="s">
        <v>48</v>
      </c>
      <c r="E25" s="15"/>
      <c r="F25" s="15"/>
    </row>
  </sheetData>
  <mergeCells count="23">
    <mergeCell ref="B4:F4"/>
    <mergeCell ref="B5:F5"/>
    <mergeCell ref="B6:F6"/>
    <mergeCell ref="B7:F7"/>
    <mergeCell ref="B8:F8"/>
    <mergeCell ref="B9:F9"/>
    <mergeCell ref="B10:F10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5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45"/>
  </cols>
  <sheetData>
    <row r="1" customFormat="false" ht="18.75" hidden="false" customHeight="true" outlineLevel="0" collapsed="false">
      <c r="A1" s="2" t="s">
        <v>49</v>
      </c>
    </row>
    <row r="2" customFormat="false" ht="15" hidden="false" customHeight="true" outlineLevel="0" collapsed="false">
      <c r="A2" s="17" t="s">
        <v>50</v>
      </c>
    </row>
    <row r="4" customFormat="false" ht="15" hidden="false" customHeight="true" outlineLevel="0" collapsed="false">
      <c r="A4" s="18" t="s">
        <v>51</v>
      </c>
      <c r="B4" s="19" t="s">
        <v>17</v>
      </c>
      <c r="C4" s="19" t="s">
        <v>52</v>
      </c>
      <c r="D4" s="19" t="s">
        <v>53</v>
      </c>
      <c r="E4" s="19" t="s">
        <v>54</v>
      </c>
      <c r="F4" s="19" t="s">
        <v>55</v>
      </c>
      <c r="G4" s="19" t="s">
        <v>56</v>
      </c>
    </row>
    <row r="5" customFormat="false" ht="26.25" hidden="false" customHeight="true" outlineLevel="0" collapsed="false">
      <c r="A5" s="16" t="s">
        <v>57</v>
      </c>
      <c r="B5" s="13" t="s">
        <v>58</v>
      </c>
      <c r="C5" s="13" t="s">
        <v>59</v>
      </c>
      <c r="D5" s="13" t="s">
        <v>60</v>
      </c>
      <c r="E5" s="16" t="s">
        <v>61</v>
      </c>
      <c r="F5" s="13" t="s">
        <v>18</v>
      </c>
      <c r="G5" s="13" t="s">
        <v>62</v>
      </c>
    </row>
    <row r="6" customFormat="false" ht="15" hidden="false" customHeight="true" outlineLevel="0" collapsed="false">
      <c r="A6" s="16" t="s">
        <v>63</v>
      </c>
      <c r="B6" s="13" t="s">
        <v>64</v>
      </c>
      <c r="C6" s="16" t="s">
        <v>65</v>
      </c>
      <c r="D6" s="13" t="s">
        <v>66</v>
      </c>
      <c r="E6" s="16" t="s">
        <v>67</v>
      </c>
      <c r="F6" s="13" t="s">
        <v>19</v>
      </c>
      <c r="G6" s="13" t="s">
        <v>68</v>
      </c>
    </row>
    <row r="7" customFormat="false" ht="26.25" hidden="false" customHeight="true" outlineLevel="0" collapsed="false">
      <c r="A7" s="16" t="s">
        <v>69</v>
      </c>
      <c r="B7" s="13" t="s">
        <v>70</v>
      </c>
      <c r="C7" s="16" t="s">
        <v>71</v>
      </c>
      <c r="D7" s="13" t="s">
        <v>72</v>
      </c>
      <c r="E7" s="16" t="s">
        <v>67</v>
      </c>
      <c r="F7" s="13" t="s">
        <v>18</v>
      </c>
      <c r="G7" s="13" t="s">
        <v>73</v>
      </c>
    </row>
    <row r="8" customFormat="false" ht="15" hidden="false" customHeight="true" outlineLevel="0" collapsed="false">
      <c r="A8" s="16" t="s">
        <v>74</v>
      </c>
      <c r="B8" s="13" t="s">
        <v>75</v>
      </c>
      <c r="C8" s="16" t="s">
        <v>76</v>
      </c>
      <c r="D8" s="13" t="s">
        <v>72</v>
      </c>
      <c r="E8" s="16" t="s">
        <v>77</v>
      </c>
      <c r="F8" s="13" t="s">
        <v>18</v>
      </c>
      <c r="G8" s="16" t="s">
        <v>78</v>
      </c>
    </row>
    <row r="9" customFormat="false" ht="15" hidden="false" customHeight="true" outlineLevel="0" collapsed="false">
      <c r="A9" s="16" t="s">
        <v>79</v>
      </c>
      <c r="B9" s="13" t="s">
        <v>80</v>
      </c>
      <c r="C9" s="13" t="s">
        <v>81</v>
      </c>
      <c r="D9" s="13" t="s">
        <v>66</v>
      </c>
      <c r="E9" s="16" t="s">
        <v>82</v>
      </c>
      <c r="F9" s="13" t="s">
        <v>18</v>
      </c>
      <c r="G9" s="13" t="s">
        <v>83</v>
      </c>
    </row>
    <row r="10" customFormat="false" ht="15" hidden="false" customHeight="true" outlineLevel="0" collapsed="false">
      <c r="A10" s="16" t="s">
        <v>84</v>
      </c>
      <c r="B10" s="13" t="s">
        <v>85</v>
      </c>
      <c r="C10" s="13" t="s">
        <v>86</v>
      </c>
      <c r="D10" s="13" t="s">
        <v>72</v>
      </c>
      <c r="E10" s="16" t="s">
        <v>82</v>
      </c>
      <c r="F10" s="13" t="s">
        <v>18</v>
      </c>
      <c r="G10" s="13" t="s">
        <v>87</v>
      </c>
    </row>
    <row r="11" customFormat="false" ht="15" hidden="false" customHeight="true" outlineLevel="0" collapsed="false">
      <c r="A11" s="16" t="s">
        <v>88</v>
      </c>
      <c r="B11" s="13" t="s">
        <v>64</v>
      </c>
      <c r="C11" s="16" t="s">
        <v>89</v>
      </c>
      <c r="D11" s="13" t="s">
        <v>60</v>
      </c>
      <c r="E11" s="16" t="s">
        <v>90</v>
      </c>
      <c r="F11" s="13" t="s">
        <v>18</v>
      </c>
      <c r="G11" s="16" t="s">
        <v>91</v>
      </c>
    </row>
    <row r="12" customFormat="false" ht="26.25" hidden="false" customHeight="true" outlineLevel="0" collapsed="false">
      <c r="A12" s="16" t="s">
        <v>92</v>
      </c>
      <c r="B12" s="13" t="s">
        <v>93</v>
      </c>
      <c r="C12" s="13" t="s">
        <v>94</v>
      </c>
      <c r="D12" s="13" t="s">
        <v>95</v>
      </c>
      <c r="E12" s="16" t="s">
        <v>61</v>
      </c>
      <c r="F12" s="13" t="s">
        <v>20</v>
      </c>
      <c r="G12" s="13" t="s">
        <v>96</v>
      </c>
    </row>
    <row r="13" customFormat="false" ht="15" hidden="false" customHeight="true" outlineLevel="0" collapsed="false">
      <c r="A13" s="16" t="s">
        <v>97</v>
      </c>
      <c r="B13" s="13" t="s">
        <v>85</v>
      </c>
      <c r="C13" s="13" t="s">
        <v>98</v>
      </c>
      <c r="D13" s="13" t="s">
        <v>99</v>
      </c>
      <c r="E13" s="13" t="s">
        <v>100</v>
      </c>
      <c r="F13" s="13" t="s">
        <v>18</v>
      </c>
      <c r="G13" s="16"/>
    </row>
    <row r="14" customFormat="false" ht="15" hidden="false" customHeight="true" outlineLevel="0" collapsed="false">
      <c r="A14" s="16" t="s">
        <v>101</v>
      </c>
      <c r="B14" s="13" t="s">
        <v>75</v>
      </c>
      <c r="C14" s="13" t="s">
        <v>102</v>
      </c>
      <c r="D14" s="13" t="s">
        <v>72</v>
      </c>
      <c r="E14" s="16" t="s">
        <v>103</v>
      </c>
      <c r="F14" s="13" t="s">
        <v>18</v>
      </c>
      <c r="G14" s="13" t="s">
        <v>104</v>
      </c>
    </row>
    <row r="15" customFormat="false" ht="15" hidden="false" customHeight="true" outlineLevel="0" collapsed="false">
      <c r="A15" s="16" t="s">
        <v>105</v>
      </c>
      <c r="B15" s="13" t="s">
        <v>85</v>
      </c>
      <c r="C15" s="13" t="s">
        <v>106</v>
      </c>
      <c r="D15" s="13" t="s">
        <v>66</v>
      </c>
      <c r="E15" s="16" t="s">
        <v>107</v>
      </c>
      <c r="F15" s="13" t="s">
        <v>20</v>
      </c>
      <c r="G15" s="16"/>
    </row>
    <row r="16" customFormat="false" ht="15" hidden="false" customHeight="true" outlineLevel="0" collapsed="false">
      <c r="A16" s="16" t="s">
        <v>108</v>
      </c>
      <c r="B16" s="13" t="s">
        <v>85</v>
      </c>
      <c r="C16" s="16" t="s">
        <v>109</v>
      </c>
      <c r="D16" s="13" t="s">
        <v>72</v>
      </c>
      <c r="E16" s="16" t="s">
        <v>61</v>
      </c>
      <c r="F16" s="13" t="s">
        <v>20</v>
      </c>
      <c r="G16" s="16"/>
    </row>
    <row r="17" customFormat="false" ht="15" hidden="false" customHeight="true" outlineLevel="0" collapsed="false">
      <c r="A17" s="16" t="s">
        <v>110</v>
      </c>
      <c r="B17" s="13" t="s">
        <v>111</v>
      </c>
      <c r="C17" s="16" t="s">
        <v>112</v>
      </c>
      <c r="D17" s="13" t="s">
        <v>66</v>
      </c>
      <c r="E17" s="16" t="s">
        <v>61</v>
      </c>
      <c r="F17" s="13" t="s">
        <v>20</v>
      </c>
      <c r="G17" s="16"/>
    </row>
    <row r="18" customFormat="false" ht="15" hidden="false" customHeight="true" outlineLevel="0" collapsed="false">
      <c r="A18" s="16" t="s">
        <v>113</v>
      </c>
      <c r="B18" s="13" t="s">
        <v>114</v>
      </c>
      <c r="C18" s="16" t="s">
        <v>115</v>
      </c>
      <c r="D18" s="13" t="s">
        <v>66</v>
      </c>
      <c r="E18" s="16" t="s">
        <v>61</v>
      </c>
      <c r="F18" s="13" t="s">
        <v>20</v>
      </c>
      <c r="G18" s="16" t="s">
        <v>116</v>
      </c>
    </row>
    <row r="19" customFormat="false" ht="26.25" hidden="false" customHeight="true" outlineLevel="0" collapsed="false">
      <c r="A19" s="16" t="s">
        <v>117</v>
      </c>
      <c r="B19" s="13" t="s">
        <v>93</v>
      </c>
      <c r="C19" s="16" t="s">
        <v>118</v>
      </c>
      <c r="D19" s="13" t="s">
        <v>60</v>
      </c>
      <c r="E19" s="13" t="s">
        <v>119</v>
      </c>
      <c r="F19" s="13" t="s">
        <v>19</v>
      </c>
      <c r="G19" s="13" t="s">
        <v>120</v>
      </c>
    </row>
  </sheetData>
  <conditionalFormatting sqref="F5:F48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"진행중"</formula>
    </cfRule>
    <cfRule type="cellIs" priority="4" operator="equal" aboveAverage="0" equalAverage="0" bottom="0" percent="0" rank="0" text="" dxfId="2">
      <formula>"블로킹"</formula>
    </cfRule>
    <cfRule type="cellIs" priority="5" operator="equal" aboveAverage="0" equalAverage="0" bottom="0" percent="0" rank="0" text="" dxfId="3">
      <formula>"결정대기"</formula>
    </cfRule>
  </conditionalFormatting>
  <dataValidations count="1">
    <dataValidation allowBlank="true" errorStyle="stop" operator="between" showDropDown="false" showErrorMessage="false" showInputMessage="false" sqref="F5:F48" type="list">
      <formula1>"미착수,진행중,완료,블로킹,결정대기"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45"/>
    <col collapsed="false" customWidth="true" hidden="false" outlineLevel="0" max="6" min="5" style="1" width="10"/>
  </cols>
  <sheetData>
    <row r="1" customFormat="false" ht="17.25" hidden="false" customHeight="true" outlineLevel="0" collapsed="false">
      <c r="A1" s="2" t="s">
        <v>121</v>
      </c>
    </row>
    <row r="2" customFormat="false" ht="15" hidden="false" customHeight="true" outlineLevel="0" collapsed="false">
      <c r="A2" s="17" t="s">
        <v>122</v>
      </c>
    </row>
    <row r="4" customFormat="false" ht="15" hidden="false" customHeight="true" outlineLevel="0" collapsed="false">
      <c r="A4" s="18" t="s">
        <v>51</v>
      </c>
      <c r="B4" s="19" t="s">
        <v>123</v>
      </c>
      <c r="C4" s="19" t="s">
        <v>124</v>
      </c>
      <c r="D4" s="18" t="s">
        <v>125</v>
      </c>
      <c r="E4" s="19" t="s">
        <v>53</v>
      </c>
      <c r="F4" s="19" t="s">
        <v>55</v>
      </c>
    </row>
    <row r="5" customFormat="false" ht="26.25" hidden="false" customHeight="true" outlineLevel="0" collapsed="false">
      <c r="A5" s="16" t="s">
        <v>126</v>
      </c>
      <c r="B5" s="13" t="s">
        <v>127</v>
      </c>
      <c r="C5" s="13" t="s">
        <v>128</v>
      </c>
      <c r="D5" s="16" t="s">
        <v>129</v>
      </c>
      <c r="E5" s="13" t="s">
        <v>72</v>
      </c>
      <c r="F5" s="13" t="s">
        <v>18</v>
      </c>
    </row>
    <row r="6" customFormat="false" ht="15" hidden="false" customHeight="true" outlineLevel="0" collapsed="false">
      <c r="A6" s="16" t="s">
        <v>130</v>
      </c>
      <c r="B6" s="13" t="s">
        <v>127</v>
      </c>
      <c r="C6" s="13" t="s">
        <v>131</v>
      </c>
      <c r="D6" s="13" t="s">
        <v>132</v>
      </c>
      <c r="E6" s="13" t="s">
        <v>72</v>
      </c>
      <c r="F6" s="13" t="s">
        <v>18</v>
      </c>
    </row>
    <row r="7" customFormat="false" ht="15" hidden="false" customHeight="true" outlineLevel="0" collapsed="false">
      <c r="A7" s="16" t="s">
        <v>133</v>
      </c>
      <c r="B7" s="16" t="s">
        <v>134</v>
      </c>
      <c r="C7" s="16" t="s">
        <v>135</v>
      </c>
      <c r="D7" s="13" t="s">
        <v>136</v>
      </c>
      <c r="E7" s="13" t="s">
        <v>66</v>
      </c>
      <c r="F7" s="13" t="s">
        <v>18</v>
      </c>
    </row>
    <row r="8" customFormat="false" ht="26.25" hidden="false" customHeight="true" outlineLevel="0" collapsed="false">
      <c r="A8" s="16" t="s">
        <v>137</v>
      </c>
      <c r="B8" s="13" t="s">
        <v>138</v>
      </c>
      <c r="C8" s="13" t="s">
        <v>139</v>
      </c>
      <c r="D8" s="13" t="s">
        <v>140</v>
      </c>
      <c r="E8" s="13" t="s">
        <v>66</v>
      </c>
      <c r="F8" s="13" t="s">
        <v>18</v>
      </c>
    </row>
    <row r="9" customFormat="false" ht="15" hidden="false" customHeight="true" outlineLevel="0" collapsed="false">
      <c r="A9" s="16" t="s">
        <v>141</v>
      </c>
      <c r="B9" s="16" t="s">
        <v>142</v>
      </c>
      <c r="C9" s="16" t="s">
        <v>143</v>
      </c>
      <c r="D9" s="16" t="s">
        <v>144</v>
      </c>
      <c r="E9" s="13" t="s">
        <v>66</v>
      </c>
      <c r="F9" s="13" t="s">
        <v>18</v>
      </c>
    </row>
    <row r="10" customFormat="false" ht="25.5" hidden="false" customHeight="true" outlineLevel="0" collapsed="false">
      <c r="A10" s="16" t="s">
        <v>145</v>
      </c>
      <c r="B10" s="13" t="s">
        <v>80</v>
      </c>
      <c r="C10" s="16" t="s">
        <v>146</v>
      </c>
      <c r="D10" s="16" t="s">
        <v>147</v>
      </c>
      <c r="E10" s="13" t="s">
        <v>66</v>
      </c>
      <c r="F10" s="13" t="s">
        <v>18</v>
      </c>
    </row>
    <row r="11" customFormat="false" ht="25.5" hidden="false" customHeight="true" outlineLevel="0" collapsed="false">
      <c r="A11" s="16" t="s">
        <v>148</v>
      </c>
      <c r="B11" s="13" t="s">
        <v>80</v>
      </c>
      <c r="C11" s="16" t="s">
        <v>149</v>
      </c>
      <c r="D11" s="16" t="s">
        <v>150</v>
      </c>
      <c r="E11" s="13" t="s">
        <v>66</v>
      </c>
      <c r="F11" s="13" t="s">
        <v>18</v>
      </c>
    </row>
    <row r="12" customFormat="false" ht="15" hidden="false" customHeight="true" outlineLevel="0" collapsed="false">
      <c r="A12" s="16" t="s">
        <v>151</v>
      </c>
      <c r="B12" s="13" t="s">
        <v>80</v>
      </c>
      <c r="C12" s="13" t="s">
        <v>152</v>
      </c>
      <c r="D12" s="16" t="s">
        <v>153</v>
      </c>
      <c r="E12" s="13" t="s">
        <v>66</v>
      </c>
      <c r="F12" s="13" t="s">
        <v>18</v>
      </c>
    </row>
    <row r="13" customFormat="false" ht="26.25" hidden="false" customHeight="true" outlineLevel="0" collapsed="false">
      <c r="A13" s="16" t="s">
        <v>154</v>
      </c>
      <c r="B13" s="13" t="s">
        <v>155</v>
      </c>
      <c r="C13" s="13" t="s">
        <v>156</v>
      </c>
      <c r="D13" s="16" t="s">
        <v>157</v>
      </c>
      <c r="E13" s="16" t="s">
        <v>95</v>
      </c>
      <c r="F13" s="13" t="s">
        <v>158</v>
      </c>
    </row>
  </sheetData>
  <conditionalFormatting sqref="F5:F43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"진행중"</formula>
    </cfRule>
    <cfRule type="cellIs" priority="4" operator="equal" aboveAverage="0" equalAverage="0" bottom="0" percent="0" rank="0" text="" dxfId="2">
      <formula>"블로킹"</formula>
    </cfRule>
    <cfRule type="cellIs" priority="5" operator="equal" aboveAverage="0" equalAverage="0" bottom="0" percent="0" rank="0" text="" dxfId="3">
      <formula>"결정대기"</formula>
    </cfRule>
  </conditionalFormatting>
  <dataValidations count="1">
    <dataValidation allowBlank="true" errorStyle="stop" operator="between" showDropDown="false" showErrorMessage="false" showInputMessage="false" sqref="F5:F43" type="list">
      <formula1>"미착수,진행중,완료,블로킹,결정대기"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0"/>
  </cols>
  <sheetData>
    <row r="1" customFormat="false" ht="18.75" hidden="false" customHeight="true" outlineLevel="0" collapsed="false">
      <c r="A1" s="2" t="s">
        <v>159</v>
      </c>
    </row>
    <row r="2" customFormat="false" ht="15" hidden="false" customHeight="true" outlineLevel="0" collapsed="false">
      <c r="A2" s="3" t="s">
        <v>160</v>
      </c>
    </row>
    <row r="4" customFormat="false" ht="15" hidden="false" customHeight="true" outlineLevel="0" collapsed="false">
      <c r="A4" s="19" t="s">
        <v>161</v>
      </c>
      <c r="B4" s="19" t="s">
        <v>162</v>
      </c>
      <c r="C4" s="18" t="s">
        <v>163</v>
      </c>
      <c r="D4" s="18" t="s">
        <v>164</v>
      </c>
      <c r="E4" s="19" t="s">
        <v>165</v>
      </c>
      <c r="F4" s="19" t="s">
        <v>55</v>
      </c>
    </row>
    <row r="5" customFormat="false" ht="15" hidden="false" customHeight="true" outlineLevel="0" collapsed="false">
      <c r="A5" s="13" t="s">
        <v>166</v>
      </c>
      <c r="B5" s="16" t="s">
        <v>167</v>
      </c>
      <c r="C5" s="16" t="s">
        <v>168</v>
      </c>
      <c r="D5" s="20" t="s">
        <v>169</v>
      </c>
      <c r="E5" s="16" t="s">
        <v>170</v>
      </c>
      <c r="F5" s="13" t="s">
        <v>18</v>
      </c>
    </row>
    <row r="6" customFormat="false" ht="15" hidden="false" customHeight="true" outlineLevel="0" collapsed="false">
      <c r="A6" s="13" t="s">
        <v>171</v>
      </c>
      <c r="B6" s="16" t="s">
        <v>95</v>
      </c>
      <c r="C6" s="16" t="s">
        <v>172</v>
      </c>
      <c r="D6" s="20"/>
      <c r="E6" s="16" t="s">
        <v>74</v>
      </c>
      <c r="F6" s="13" t="s">
        <v>18</v>
      </c>
    </row>
    <row r="7" customFormat="false" ht="15" hidden="false" customHeight="true" outlineLevel="0" collapsed="false">
      <c r="A7" s="13" t="s">
        <v>173</v>
      </c>
      <c r="B7" s="16" t="s">
        <v>174</v>
      </c>
      <c r="C7" s="13" t="s">
        <v>175</v>
      </c>
      <c r="D7" s="20"/>
      <c r="E7" s="16" t="s">
        <v>176</v>
      </c>
      <c r="F7" s="13" t="s">
        <v>18</v>
      </c>
    </row>
    <row r="8" customFormat="false" ht="15" hidden="false" customHeight="true" outlineLevel="0" collapsed="false">
      <c r="A8" s="16" t="s">
        <v>177</v>
      </c>
      <c r="B8" s="16" t="s">
        <v>95</v>
      </c>
      <c r="C8" s="13" t="s">
        <v>19</v>
      </c>
      <c r="D8" s="21" t="s">
        <v>178</v>
      </c>
      <c r="E8" s="16" t="s">
        <v>179</v>
      </c>
      <c r="F8" s="13" t="s">
        <v>18</v>
      </c>
    </row>
    <row r="9" customFormat="false" ht="15" hidden="false" customHeight="true" outlineLevel="0" collapsed="false">
      <c r="A9" s="13" t="s">
        <v>180</v>
      </c>
      <c r="B9" s="16" t="s">
        <v>181</v>
      </c>
      <c r="C9" s="16" t="s">
        <v>182</v>
      </c>
      <c r="D9" s="20" t="s">
        <v>182</v>
      </c>
      <c r="E9" s="16" t="s">
        <v>101</v>
      </c>
      <c r="F9" s="13" t="s">
        <v>18</v>
      </c>
    </row>
    <row r="10" customFormat="false" ht="15" hidden="false" customHeight="true" outlineLevel="0" collapsed="false">
      <c r="A10" s="13" t="s">
        <v>183</v>
      </c>
      <c r="B10" s="16" t="s">
        <v>184</v>
      </c>
      <c r="C10" s="13" t="s">
        <v>185</v>
      </c>
      <c r="D10" s="20" t="s">
        <v>186</v>
      </c>
      <c r="E10" s="16"/>
      <c r="F10" s="13" t="s">
        <v>18</v>
      </c>
    </row>
  </sheetData>
  <conditionalFormatting sqref="F5:F40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"진행중"</formula>
    </cfRule>
    <cfRule type="cellIs" priority="4" operator="equal" aboveAverage="0" equalAverage="0" bottom="0" percent="0" rank="0" text="" dxfId="2">
      <formula>"블로킹"</formula>
    </cfRule>
    <cfRule type="cellIs" priority="5" operator="equal" aboveAverage="0" equalAverage="0" bottom="0" percent="0" rank="0" text="" dxfId="3">
      <formula>"결정대기"</formula>
    </cfRule>
  </conditionalFormatting>
  <dataValidations count="1">
    <dataValidation allowBlank="true" errorStyle="stop" operator="between" showDropDown="false" showErrorMessage="false" showInputMessage="false" sqref="F5:F40" type="list">
      <formula1>"미착수,진행중,완료,블로킹,결정대기"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5" min="5" style="1" width="28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187</v>
      </c>
    </row>
    <row r="3" customFormat="false" ht="15" hidden="false" customHeight="true" outlineLevel="0" collapsed="false">
      <c r="A3" s="19" t="s">
        <v>17</v>
      </c>
      <c r="B3" s="19" t="s">
        <v>188</v>
      </c>
      <c r="C3" s="19" t="s">
        <v>189</v>
      </c>
      <c r="D3" s="19" t="s">
        <v>190</v>
      </c>
      <c r="E3" s="19" t="s">
        <v>191</v>
      </c>
      <c r="F3" s="19" t="s">
        <v>192</v>
      </c>
    </row>
    <row r="4" customFormat="false" ht="15" hidden="false" customHeight="true" outlineLevel="0" collapsed="false">
      <c r="A4" s="16" t="s">
        <v>193</v>
      </c>
      <c r="B4" s="16" t="s">
        <v>194</v>
      </c>
      <c r="C4" s="13" t="s">
        <v>195</v>
      </c>
      <c r="D4" s="13" t="s">
        <v>196</v>
      </c>
      <c r="E4" s="16"/>
      <c r="F4" s="16"/>
    </row>
    <row r="5" customFormat="false" ht="15" hidden="false" customHeight="true" outlineLevel="0" collapsed="false">
      <c r="A5" s="16" t="s">
        <v>193</v>
      </c>
      <c r="B5" s="13" t="s">
        <v>197</v>
      </c>
      <c r="C5" s="13" t="s">
        <v>198</v>
      </c>
      <c r="D5" s="13" t="s">
        <v>199</v>
      </c>
      <c r="E5" s="16" t="s">
        <v>200</v>
      </c>
      <c r="F5" s="16"/>
    </row>
    <row r="6" customFormat="false" ht="15" hidden="false" customHeight="true" outlineLevel="0" collapsed="false">
      <c r="A6" s="16" t="s">
        <v>193</v>
      </c>
      <c r="B6" s="13" t="s">
        <v>201</v>
      </c>
      <c r="C6" s="13" t="s">
        <v>202</v>
      </c>
      <c r="D6" s="13" t="s">
        <v>203</v>
      </c>
      <c r="E6" s="16"/>
      <c r="F6" s="16"/>
    </row>
    <row r="7" customFormat="false" ht="15" hidden="false" customHeight="true" outlineLevel="0" collapsed="false">
      <c r="A7" s="16" t="s">
        <v>193</v>
      </c>
      <c r="B7" s="13" t="s">
        <v>204</v>
      </c>
      <c r="C7" s="13" t="s">
        <v>202</v>
      </c>
      <c r="D7" s="13" t="s">
        <v>205</v>
      </c>
      <c r="E7" s="16"/>
      <c r="F7" s="16"/>
    </row>
    <row r="8" customFormat="false" ht="15" hidden="false" customHeight="true" outlineLevel="0" collapsed="false">
      <c r="A8" s="16" t="s">
        <v>193</v>
      </c>
      <c r="B8" s="13" t="s">
        <v>206</v>
      </c>
      <c r="C8" s="13" t="s">
        <v>207</v>
      </c>
      <c r="D8" s="13" t="s">
        <v>208</v>
      </c>
      <c r="E8" s="16"/>
      <c r="F8" s="16"/>
    </row>
    <row r="9" customFormat="false" ht="15" hidden="false" customHeight="true" outlineLevel="0" collapsed="false">
      <c r="A9" s="16" t="s">
        <v>193</v>
      </c>
      <c r="B9" s="13" t="s">
        <v>209</v>
      </c>
      <c r="C9" s="16"/>
      <c r="D9" s="13" t="s">
        <v>210</v>
      </c>
      <c r="E9" s="16"/>
      <c r="F9" s="16"/>
    </row>
    <row r="10" customFormat="false" ht="15" hidden="false" customHeight="true" outlineLevel="0" collapsed="false">
      <c r="A10" s="16" t="s">
        <v>193</v>
      </c>
      <c r="B10" s="13" t="s">
        <v>72</v>
      </c>
      <c r="C10" s="16"/>
      <c r="D10" s="13" t="s">
        <v>211</v>
      </c>
      <c r="E10" s="16"/>
      <c r="F10" s="16"/>
    </row>
    <row r="11" customFormat="false" ht="15" hidden="false" customHeight="true" outlineLevel="0" collapsed="false">
      <c r="A11" s="13" t="s">
        <v>212</v>
      </c>
      <c r="B11" s="13" t="s">
        <v>213</v>
      </c>
      <c r="C11" s="13" t="s">
        <v>214</v>
      </c>
      <c r="D11" s="13" t="s">
        <v>215</v>
      </c>
      <c r="E11" s="16" t="s">
        <v>216</v>
      </c>
      <c r="F11" s="16"/>
    </row>
    <row r="12" customFormat="false" ht="15" hidden="false" customHeight="true" outlineLevel="0" collapsed="false">
      <c r="A12" s="13" t="s">
        <v>212</v>
      </c>
      <c r="B12" s="13" t="s">
        <v>217</v>
      </c>
      <c r="C12" s="16"/>
      <c r="D12" s="13" t="s">
        <v>218</v>
      </c>
      <c r="E12" s="16"/>
      <c r="F12" s="16"/>
    </row>
    <row r="13" customFormat="false" ht="15" hidden="false" customHeight="true" outlineLevel="0" collapsed="false">
      <c r="A13" s="13" t="s">
        <v>212</v>
      </c>
      <c r="B13" s="13" t="s">
        <v>219</v>
      </c>
      <c r="C13" s="13" t="s">
        <v>220</v>
      </c>
      <c r="D13" s="13" t="s">
        <v>221</v>
      </c>
      <c r="E13" s="16" t="s">
        <v>222</v>
      </c>
      <c r="F13" s="16" t="s">
        <v>223</v>
      </c>
    </row>
    <row r="14" customFormat="false" ht="15" hidden="false" customHeight="true" outlineLevel="0" collapsed="false">
      <c r="A14" s="16" t="s">
        <v>163</v>
      </c>
      <c r="B14" s="13" t="s">
        <v>224</v>
      </c>
      <c r="C14" s="13" t="s">
        <v>225</v>
      </c>
      <c r="D14" s="16" t="s">
        <v>226</v>
      </c>
      <c r="E14" s="16" t="s">
        <v>227</v>
      </c>
      <c r="F14" s="16"/>
    </row>
    <row r="15" customFormat="false" ht="26.25" hidden="false" customHeight="true" outlineLevel="0" collapsed="false">
      <c r="A15" s="16" t="s">
        <v>163</v>
      </c>
      <c r="B15" s="13" t="s">
        <v>228</v>
      </c>
      <c r="C15" s="13" t="s">
        <v>229</v>
      </c>
      <c r="D15" s="16" t="s">
        <v>230</v>
      </c>
      <c r="E15" s="16"/>
      <c r="F15" s="16" t="s">
        <v>231</v>
      </c>
    </row>
    <row r="16" customFormat="false" ht="15" hidden="false" customHeight="true" outlineLevel="0" collapsed="false">
      <c r="A16" s="16" t="s">
        <v>232</v>
      </c>
      <c r="B16" s="13" t="s">
        <v>233</v>
      </c>
      <c r="C16" s="13" t="s">
        <v>234</v>
      </c>
      <c r="D16" s="13" t="s">
        <v>235</v>
      </c>
      <c r="E16" s="16" t="s">
        <v>236</v>
      </c>
      <c r="F16" s="13" t="s">
        <v>237</v>
      </c>
    </row>
    <row r="17" customFormat="false" ht="15" hidden="false" customHeight="true" outlineLevel="0" collapsed="false">
      <c r="A17" s="16" t="s">
        <v>232</v>
      </c>
      <c r="B17" s="13" t="s">
        <v>238</v>
      </c>
      <c r="C17" s="13" t="s">
        <v>239</v>
      </c>
      <c r="D17" s="13" t="s">
        <v>240</v>
      </c>
      <c r="E17" s="16"/>
      <c r="F17" s="13" t="s">
        <v>237</v>
      </c>
    </row>
    <row r="18" customFormat="false" ht="15" hidden="false" customHeight="true" outlineLevel="0" collapsed="false">
      <c r="A18" s="16" t="s">
        <v>232</v>
      </c>
      <c r="B18" s="13" t="s">
        <v>241</v>
      </c>
      <c r="C18" s="13" t="s">
        <v>242</v>
      </c>
      <c r="D18" s="13" t="s">
        <v>243</v>
      </c>
      <c r="E18" s="16"/>
      <c r="F18" s="13" t="s">
        <v>244</v>
      </c>
    </row>
    <row r="19" customFormat="false" ht="15" hidden="false" customHeight="true" outlineLevel="0" collapsed="false">
      <c r="A19" s="16" t="s">
        <v>232</v>
      </c>
      <c r="B19" s="13" t="s">
        <v>245</v>
      </c>
      <c r="C19" s="13" t="s">
        <v>246</v>
      </c>
      <c r="D19" s="13" t="s">
        <v>243</v>
      </c>
      <c r="E19" s="16"/>
      <c r="F19" s="1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2" t="s">
        <v>247</v>
      </c>
    </row>
    <row r="2" customFormat="false" ht="15" hidden="false" customHeight="true" outlineLevel="0" collapsed="false">
      <c r="A2" s="17" t="s">
        <v>248</v>
      </c>
    </row>
    <row r="4" customFormat="false" ht="15" hidden="false" customHeight="true" outlineLevel="0" collapsed="false">
      <c r="A4" s="19" t="s">
        <v>249</v>
      </c>
      <c r="B4" s="19" t="s">
        <v>250</v>
      </c>
      <c r="C4" s="19" t="s">
        <v>251</v>
      </c>
      <c r="D4" s="19" t="s">
        <v>252</v>
      </c>
    </row>
    <row r="5" customFormat="false" ht="15" hidden="false" customHeight="true" outlineLevel="0" collapsed="false">
      <c r="A5" s="16" t="s">
        <v>253</v>
      </c>
      <c r="B5" s="16"/>
      <c r="C5" s="13" t="s">
        <v>254</v>
      </c>
      <c r="D5" s="16" t="s">
        <v>255</v>
      </c>
    </row>
    <row r="6" customFormat="false" ht="15" hidden="false" customHeight="true" outlineLevel="0" collapsed="false">
      <c r="A6" s="16" t="s">
        <v>256</v>
      </c>
      <c r="B6" s="16" t="s">
        <v>257</v>
      </c>
      <c r="C6" s="13" t="s">
        <v>258</v>
      </c>
      <c r="D6" s="16" t="s">
        <v>259</v>
      </c>
    </row>
    <row r="7" customFormat="false" ht="15" hidden="false" customHeight="true" outlineLevel="0" collapsed="false">
      <c r="A7" s="16" t="s">
        <v>256</v>
      </c>
      <c r="B7" s="16" t="s">
        <v>260</v>
      </c>
      <c r="C7" s="13" t="s">
        <v>261</v>
      </c>
      <c r="D7" s="13" t="s">
        <v>262</v>
      </c>
    </row>
    <row r="8" customFormat="false" ht="15" hidden="false" customHeight="true" outlineLevel="0" collapsed="false">
      <c r="A8" s="16" t="s">
        <v>256</v>
      </c>
      <c r="B8" s="16" t="s">
        <v>263</v>
      </c>
      <c r="C8" s="13" t="s">
        <v>264</v>
      </c>
      <c r="D8" s="16" t="s">
        <v>265</v>
      </c>
    </row>
    <row r="9" customFormat="false" ht="15" hidden="false" customHeight="true" outlineLevel="0" collapsed="false">
      <c r="A9" s="16" t="s">
        <v>266</v>
      </c>
      <c r="B9" s="16" t="s">
        <v>267</v>
      </c>
      <c r="C9" s="13" t="s">
        <v>268</v>
      </c>
      <c r="D9" s="13" t="s">
        <v>269</v>
      </c>
    </row>
    <row r="10" customFormat="false" ht="15" hidden="false" customHeight="true" outlineLevel="0" collapsed="false">
      <c r="A10" s="16" t="s">
        <v>266</v>
      </c>
      <c r="B10" s="16" t="s">
        <v>270</v>
      </c>
      <c r="C10" s="13" t="s">
        <v>258</v>
      </c>
      <c r="D10" s="13" t="s">
        <v>271</v>
      </c>
    </row>
    <row r="11" customFormat="false" ht="15" hidden="false" customHeight="true" outlineLevel="0" collapsed="false">
      <c r="A11" s="16" t="s">
        <v>107</v>
      </c>
      <c r="B11" s="16"/>
      <c r="C11" s="13" t="s">
        <v>272</v>
      </c>
      <c r="D11" s="13" t="s">
        <v>273</v>
      </c>
    </row>
    <row r="12" customFormat="false" ht="15" hidden="false" customHeight="true" outlineLevel="0" collapsed="false">
      <c r="A12" s="16" t="s">
        <v>107</v>
      </c>
      <c r="B12" s="16" t="s">
        <v>274</v>
      </c>
      <c r="C12" s="13" t="s">
        <v>268</v>
      </c>
      <c r="D12" s="16" t="s">
        <v>275</v>
      </c>
    </row>
    <row r="13" customFormat="false" ht="15" hidden="false" customHeight="true" outlineLevel="0" collapsed="false">
      <c r="A13" s="16" t="s">
        <v>107</v>
      </c>
      <c r="B13" s="16" t="s">
        <v>276</v>
      </c>
      <c r="C13" s="13" t="s">
        <v>268</v>
      </c>
      <c r="D13" s="13" t="s">
        <v>277</v>
      </c>
    </row>
    <row r="14" customFormat="false" ht="15" hidden="false" customHeight="true" outlineLevel="0" collapsed="false">
      <c r="A14" s="16" t="s">
        <v>107</v>
      </c>
      <c r="B14" s="16" t="s">
        <v>278</v>
      </c>
      <c r="C14" s="13" t="s">
        <v>279</v>
      </c>
      <c r="D14" s="13" t="s">
        <v>280</v>
      </c>
    </row>
    <row r="15" customFormat="false" ht="15" hidden="false" customHeight="true" outlineLevel="0" collapsed="false">
      <c r="A15" s="16" t="s">
        <v>107</v>
      </c>
      <c r="B15" s="16" t="s">
        <v>260</v>
      </c>
      <c r="C15" s="13" t="s">
        <v>268</v>
      </c>
      <c r="D15" s="13" t="s">
        <v>281</v>
      </c>
    </row>
    <row r="16" customFormat="false" ht="15" hidden="false" customHeight="true" outlineLevel="0" collapsed="false">
      <c r="A16" s="16" t="s">
        <v>107</v>
      </c>
      <c r="B16" s="16" t="s">
        <v>282</v>
      </c>
      <c r="C16" s="13" t="s">
        <v>66</v>
      </c>
      <c r="D16" s="16" t="s">
        <v>283</v>
      </c>
    </row>
    <row r="17" customFormat="false" ht="15" hidden="false" customHeight="true" outlineLevel="0" collapsed="false">
      <c r="A17" s="16" t="s">
        <v>107</v>
      </c>
      <c r="B17" s="16" t="s">
        <v>284</v>
      </c>
      <c r="C17" s="13" t="s">
        <v>268</v>
      </c>
      <c r="D17" s="16" t="s">
        <v>285</v>
      </c>
    </row>
    <row r="18" customFormat="false" ht="15" hidden="false" customHeight="true" outlineLevel="0" collapsed="false">
      <c r="A18" s="16" t="s">
        <v>107</v>
      </c>
      <c r="B18" s="16" t="s">
        <v>286</v>
      </c>
      <c r="C18" s="13" t="s">
        <v>268</v>
      </c>
      <c r="D18" s="13" t="s">
        <v>287</v>
      </c>
    </row>
    <row r="19" customFormat="false" ht="15" hidden="false" customHeight="true" outlineLevel="0" collapsed="false">
      <c r="A19" s="16" t="s">
        <v>107</v>
      </c>
      <c r="B19" s="16" t="s">
        <v>288</v>
      </c>
      <c r="C19" s="13" t="s">
        <v>217</v>
      </c>
      <c r="D19" s="13" t="s">
        <v>289</v>
      </c>
    </row>
    <row r="20" customFormat="false" ht="15" hidden="false" customHeight="true" outlineLevel="0" collapsed="false">
      <c r="A20" s="16" t="s">
        <v>107</v>
      </c>
      <c r="B20" s="16" t="s">
        <v>288</v>
      </c>
      <c r="C20" s="13" t="s">
        <v>268</v>
      </c>
      <c r="D20" s="13" t="s">
        <v>290</v>
      </c>
    </row>
    <row r="21" customFormat="false" ht="15" hidden="false" customHeight="true" outlineLevel="0" collapsed="false">
      <c r="A21" s="16" t="s">
        <v>107</v>
      </c>
      <c r="B21" s="16" t="s">
        <v>291</v>
      </c>
      <c r="C21" s="13" t="s">
        <v>268</v>
      </c>
      <c r="D21" s="13" t="s">
        <v>292</v>
      </c>
    </row>
    <row r="22" customFormat="false" ht="15" hidden="false" customHeight="true" outlineLevel="0" collapsed="false">
      <c r="A22" s="16" t="s">
        <v>61</v>
      </c>
      <c r="B22" s="16" t="s">
        <v>293</v>
      </c>
      <c r="C22" s="13" t="s">
        <v>294</v>
      </c>
      <c r="D22" s="16" t="s">
        <v>295</v>
      </c>
    </row>
    <row r="23" customFormat="false" ht="15" hidden="false" customHeight="true" outlineLevel="0" collapsed="false">
      <c r="A23" s="16" t="s">
        <v>61</v>
      </c>
      <c r="B23" s="16" t="s">
        <v>296</v>
      </c>
      <c r="C23" s="13" t="s">
        <v>268</v>
      </c>
      <c r="D23" s="16" t="s">
        <v>297</v>
      </c>
    </row>
    <row r="24" customFormat="false" ht="15" hidden="false" customHeight="true" outlineLevel="0" collapsed="false">
      <c r="A24" s="16" t="s">
        <v>61</v>
      </c>
      <c r="B24" s="16" t="s">
        <v>298</v>
      </c>
      <c r="C24" s="13" t="s">
        <v>66</v>
      </c>
      <c r="D24" s="13" t="s">
        <v>299</v>
      </c>
    </row>
    <row r="25" customFormat="false" ht="26.25" hidden="false" customHeight="true" outlineLevel="0" collapsed="false">
      <c r="A25" s="16" t="s">
        <v>61</v>
      </c>
      <c r="B25" s="16" t="s">
        <v>300</v>
      </c>
      <c r="C25" s="13" t="s">
        <v>99</v>
      </c>
      <c r="D25" s="13" t="s">
        <v>301</v>
      </c>
    </row>
    <row r="26" customFormat="false" ht="15" hidden="false" customHeight="true" outlineLevel="0" collapsed="false">
      <c r="A26" s="16" t="s">
        <v>61</v>
      </c>
      <c r="B26" s="16"/>
      <c r="C26" s="16" t="s">
        <v>95</v>
      </c>
      <c r="D26" s="13" t="s">
        <v>302</v>
      </c>
    </row>
    <row r="27" customFormat="false" ht="15" hidden="false" customHeight="false" outlineLevel="0" collapsed="false">
      <c r="A27" s="16" t="s">
        <v>61</v>
      </c>
      <c r="B27" s="16"/>
      <c r="C27" s="16" t="s">
        <v>95</v>
      </c>
      <c r="D27" s="16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36"/>
    <col collapsed="false" customWidth="true" hidden="false" outlineLevel="0" max="6" min="6" style="1" width="70"/>
  </cols>
  <sheetData>
    <row r="1" customFormat="false" ht="17.25" hidden="false" customHeight="true" outlineLevel="0" collapsed="false">
      <c r="A1" s="2" t="s">
        <v>304</v>
      </c>
    </row>
    <row r="2" customFormat="false" ht="15" hidden="false" customHeight="true" outlineLevel="0" collapsed="false">
      <c r="A2" s="17" t="s">
        <v>305</v>
      </c>
    </row>
    <row r="4" customFormat="false" ht="15" hidden="false" customHeight="true" outlineLevel="0" collapsed="false">
      <c r="A4" s="11" t="s">
        <v>306</v>
      </c>
      <c r="B4" s="22"/>
      <c r="C4" s="22"/>
      <c r="D4" s="22"/>
      <c r="E4" s="22"/>
      <c r="F4" s="22"/>
    </row>
    <row r="5" customFormat="false" ht="15" hidden="false" customHeight="true" outlineLevel="0" collapsed="false">
      <c r="A5" s="23" t="s">
        <v>17</v>
      </c>
      <c r="B5" s="14" t="s">
        <v>307</v>
      </c>
      <c r="C5" s="14"/>
      <c r="D5" s="14"/>
      <c r="E5" s="14"/>
      <c r="F5" s="14"/>
    </row>
    <row r="6" customFormat="false" ht="15" hidden="false" customHeight="true" outlineLevel="0" collapsed="false">
      <c r="A6" s="24" t="s">
        <v>308</v>
      </c>
      <c r="B6" s="14" t="s">
        <v>309</v>
      </c>
      <c r="C6" s="14"/>
      <c r="D6" s="14"/>
      <c r="E6" s="14"/>
      <c r="F6" s="14"/>
    </row>
    <row r="7" customFormat="false" ht="15" hidden="false" customHeight="true" outlineLevel="0" collapsed="false">
      <c r="A7" s="24" t="s">
        <v>310</v>
      </c>
      <c r="B7" s="14" t="s">
        <v>311</v>
      </c>
      <c r="C7" s="14"/>
      <c r="D7" s="14"/>
      <c r="E7" s="14"/>
      <c r="F7" s="14"/>
    </row>
    <row r="8" customFormat="false" ht="15" hidden="false" customHeight="true" outlineLevel="0" collapsed="false">
      <c r="A8" s="23" t="s">
        <v>312</v>
      </c>
      <c r="B8" s="15" t="s">
        <v>313</v>
      </c>
      <c r="C8" s="15"/>
      <c r="D8" s="15"/>
      <c r="E8" s="15"/>
      <c r="F8" s="15"/>
    </row>
    <row r="9" customFormat="false" ht="15" hidden="false" customHeight="true" outlineLevel="0" collapsed="false">
      <c r="A9" s="23" t="s">
        <v>314</v>
      </c>
      <c r="B9" s="14" t="s">
        <v>315</v>
      </c>
      <c r="C9" s="14"/>
      <c r="D9" s="14"/>
      <c r="E9" s="14"/>
      <c r="F9" s="14"/>
    </row>
    <row r="11" customFormat="false" ht="15" hidden="false" customHeight="true" outlineLevel="0" collapsed="false">
      <c r="A11" s="11" t="s">
        <v>249</v>
      </c>
      <c r="B11" s="11" t="s">
        <v>250</v>
      </c>
      <c r="C11" s="11" t="s">
        <v>316</v>
      </c>
      <c r="D11" s="11" t="s">
        <v>317</v>
      </c>
      <c r="E11" s="11" t="s">
        <v>318</v>
      </c>
      <c r="F11" s="11" t="s">
        <v>319</v>
      </c>
    </row>
    <row r="12" customFormat="false" ht="300" hidden="false" customHeight="true" outlineLevel="0" collapsed="false">
      <c r="A12" s="13" t="s">
        <v>320</v>
      </c>
      <c r="B12" s="16" t="s">
        <v>321</v>
      </c>
      <c r="C12" s="13" t="s">
        <v>322</v>
      </c>
      <c r="D12" s="13" t="s">
        <v>66</v>
      </c>
      <c r="E12" s="13" t="s">
        <v>323</v>
      </c>
      <c r="F12" s="16" t="s">
        <v>324</v>
      </c>
    </row>
    <row r="13" customFormat="false" ht="300" hidden="false" customHeight="true" outlineLevel="0" collapsed="false">
      <c r="A13" s="13" t="s">
        <v>320</v>
      </c>
      <c r="B13" s="16" t="s">
        <v>325</v>
      </c>
      <c r="C13" s="13" t="s">
        <v>326</v>
      </c>
      <c r="D13" s="13" t="s">
        <v>72</v>
      </c>
      <c r="E13" s="13" t="s">
        <v>327</v>
      </c>
      <c r="F13" s="16" t="s">
        <v>328</v>
      </c>
    </row>
    <row r="14" customFormat="false" ht="408.75" hidden="false" customHeight="true" outlineLevel="0" collapsed="false">
      <c r="A14" s="16" t="s">
        <v>61</v>
      </c>
      <c r="B14" s="16" t="s">
        <v>298</v>
      </c>
      <c r="C14" s="13" t="s">
        <v>329</v>
      </c>
      <c r="D14" s="13" t="s">
        <v>66</v>
      </c>
      <c r="E14" s="13" t="s">
        <v>330</v>
      </c>
      <c r="F14" s="16" t="s">
        <v>331</v>
      </c>
    </row>
    <row r="15" customFormat="false" ht="300" hidden="false" customHeight="true" outlineLevel="0" collapsed="false">
      <c r="A15" s="16" t="s">
        <v>61</v>
      </c>
      <c r="B15" s="16" t="s">
        <v>325</v>
      </c>
      <c r="C15" s="13" t="s">
        <v>326</v>
      </c>
      <c r="D15" s="13" t="s">
        <v>72</v>
      </c>
      <c r="E15" s="20" t="s">
        <v>332</v>
      </c>
      <c r="F15" s="20" t="s">
        <v>333</v>
      </c>
    </row>
  </sheetData>
  <mergeCells count="6">
    <mergeCell ref="B4:F4"/>
    <mergeCell ref="B5:F5"/>
    <mergeCell ref="B6:F6"/>
    <mergeCell ref="B7:F7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0"/>
  </cols>
  <sheetData>
    <row r="1" customFormat="false" ht="18.75" hidden="false" customHeight="true" outlineLevel="0" collapsed="false">
      <c r="A1" s="25" t="s">
        <v>334</v>
      </c>
    </row>
    <row r="2" customFormat="false" ht="15" hidden="false" customHeight="true" outlineLevel="0" collapsed="false">
      <c r="A2" s="17" t="s">
        <v>335</v>
      </c>
    </row>
    <row r="4" customFormat="false" ht="15" hidden="false" customHeight="true" outlineLevel="0" collapsed="false">
      <c r="A4" s="26" t="s">
        <v>336</v>
      </c>
      <c r="B4" s="20" t="s">
        <v>337</v>
      </c>
    </row>
    <row r="5" customFormat="false" ht="15" hidden="false" customHeight="true" outlineLevel="0" collapsed="false">
      <c r="A5" s="26" t="s">
        <v>338</v>
      </c>
      <c r="B5" s="16" t="s">
        <v>339</v>
      </c>
    </row>
    <row r="6" customFormat="false" ht="15" hidden="false" customHeight="true" outlineLevel="0" collapsed="false">
      <c r="A6" s="26" t="s">
        <v>340</v>
      </c>
      <c r="B6" s="16" t="s">
        <v>341</v>
      </c>
    </row>
    <row r="7" customFormat="false" ht="15" hidden="false" customHeight="true" outlineLevel="0" collapsed="false">
      <c r="A7" s="26" t="s">
        <v>342</v>
      </c>
      <c r="B7" s="20" t="s">
        <v>343</v>
      </c>
    </row>
    <row r="8" customFormat="false" ht="420" hidden="false" customHeight="true" outlineLevel="0" collapsed="false">
      <c r="A8" s="26" t="s">
        <v>344</v>
      </c>
      <c r="B8" s="27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2" t="s">
        <v>346</v>
      </c>
    </row>
    <row r="3" customFormat="false" ht="15" hidden="false" customHeight="true" outlineLevel="0" collapsed="false">
      <c r="A3" s="19" t="s">
        <v>347</v>
      </c>
      <c r="B3" s="19" t="s">
        <v>348</v>
      </c>
      <c r="C3" s="19" t="s">
        <v>252</v>
      </c>
    </row>
    <row r="4" customFormat="false" ht="15" hidden="false" customHeight="true" outlineLevel="0" collapsed="false">
      <c r="A4" s="13" t="s">
        <v>349</v>
      </c>
      <c r="B4" s="13" t="s">
        <v>350</v>
      </c>
      <c r="C4" s="13" t="s">
        <v>351</v>
      </c>
    </row>
    <row r="5" customFormat="false" ht="15" hidden="false" customHeight="true" outlineLevel="0" collapsed="false">
      <c r="A5" s="13" t="s">
        <v>349</v>
      </c>
      <c r="B5" s="13" t="s">
        <v>352</v>
      </c>
      <c r="C5" s="13" t="s">
        <v>353</v>
      </c>
    </row>
    <row r="6" customFormat="false" ht="15" hidden="false" customHeight="true" outlineLevel="0" collapsed="false">
      <c r="A6" s="13" t="s">
        <v>349</v>
      </c>
      <c r="B6" s="13" t="s">
        <v>354</v>
      </c>
      <c r="C6" s="16" t="s">
        <v>355</v>
      </c>
    </row>
    <row r="7" customFormat="false" ht="15" hidden="false" customHeight="true" outlineLevel="0" collapsed="false">
      <c r="A7" s="13" t="s">
        <v>349</v>
      </c>
      <c r="B7" s="13" t="s">
        <v>356</v>
      </c>
      <c r="C7" s="13" t="s">
        <v>357</v>
      </c>
    </row>
    <row r="8" customFormat="false" ht="15" hidden="false" customHeight="true" outlineLevel="0" collapsed="false">
      <c r="A8" s="13" t="s">
        <v>349</v>
      </c>
      <c r="B8" s="13" t="s">
        <v>358</v>
      </c>
      <c r="C8" s="13" t="s">
        <v>359</v>
      </c>
    </row>
    <row r="9" customFormat="false" ht="15" hidden="false" customHeight="true" outlineLevel="0" collapsed="false">
      <c r="A9" s="13" t="s">
        <v>349</v>
      </c>
      <c r="B9" s="16" t="s">
        <v>360</v>
      </c>
      <c r="C9" s="13" t="s">
        <v>361</v>
      </c>
    </row>
    <row r="10" customFormat="false" ht="15" hidden="false" customHeight="true" outlineLevel="0" collapsed="false">
      <c r="A10" s="13" t="s">
        <v>349</v>
      </c>
      <c r="B10" s="13" t="s">
        <v>362</v>
      </c>
      <c r="C10" s="13" t="s">
        <v>363</v>
      </c>
    </row>
    <row r="11" customFormat="false" ht="15" hidden="false" customHeight="true" outlineLevel="0" collapsed="false">
      <c r="A11" s="13" t="s">
        <v>349</v>
      </c>
      <c r="B11" s="13" t="s">
        <v>364</v>
      </c>
      <c r="C11" s="13" t="s">
        <v>365</v>
      </c>
    </row>
    <row r="12" customFormat="false" ht="26.25" hidden="false" customHeight="true" outlineLevel="0" collapsed="false">
      <c r="A12" s="13" t="s">
        <v>349</v>
      </c>
      <c r="B12" s="13" t="s">
        <v>366</v>
      </c>
      <c r="C12" s="13" t="s">
        <v>367</v>
      </c>
    </row>
    <row r="13" customFormat="false" ht="15" hidden="false" customHeight="true" outlineLevel="0" collapsed="false">
      <c r="A13" s="13" t="s">
        <v>349</v>
      </c>
      <c r="B13" s="13" t="s">
        <v>368</v>
      </c>
      <c r="C13" s="13" t="s">
        <v>369</v>
      </c>
    </row>
    <row r="14" customFormat="false" ht="15" hidden="false" customHeight="true" outlineLevel="0" collapsed="false">
      <c r="A14" s="13" t="s">
        <v>349</v>
      </c>
      <c r="B14" s="13" t="s">
        <v>370</v>
      </c>
      <c r="C14" s="16" t="s">
        <v>371</v>
      </c>
    </row>
    <row r="15" customFormat="false" ht="15" hidden="false" customHeight="true" outlineLevel="0" collapsed="false">
      <c r="A15" s="13" t="s">
        <v>349</v>
      </c>
      <c r="B15" s="13" t="s">
        <v>372</v>
      </c>
      <c r="C15" s="13" t="s">
        <v>373</v>
      </c>
    </row>
    <row r="16" customFormat="false" ht="15" hidden="false" customHeight="true" outlineLevel="0" collapsed="false">
      <c r="A16" s="16" t="s">
        <v>374</v>
      </c>
      <c r="B16" s="16" t="s">
        <v>375</v>
      </c>
      <c r="C16" s="13" t="s">
        <v>376</v>
      </c>
    </row>
    <row r="17" customFormat="false" ht="15" hidden="false" customHeight="true" outlineLevel="0" collapsed="false">
      <c r="A17" s="16" t="s">
        <v>374</v>
      </c>
      <c r="B17" s="16" t="s">
        <v>377</v>
      </c>
      <c r="C17" s="13" t="s">
        <v>378</v>
      </c>
    </row>
    <row r="18" customFormat="false" ht="15" hidden="false" customHeight="true" outlineLevel="0" collapsed="false">
      <c r="A18" s="16" t="s">
        <v>374</v>
      </c>
      <c r="B18" s="16" t="s">
        <v>379</v>
      </c>
      <c r="C18" s="13" t="s">
        <v>271</v>
      </c>
    </row>
    <row r="19" customFormat="false" ht="26.25" hidden="false" customHeight="true" outlineLevel="0" collapsed="false">
      <c r="A19" s="16" t="s">
        <v>374</v>
      </c>
      <c r="B19" s="13" t="s">
        <v>380</v>
      </c>
      <c r="C19" s="13" t="s">
        <v>381</v>
      </c>
    </row>
    <row r="20" customFormat="false" ht="15" hidden="false" customHeight="true" outlineLevel="0" collapsed="false">
      <c r="A20" s="16" t="s">
        <v>374</v>
      </c>
      <c r="B20" s="16" t="s">
        <v>382</v>
      </c>
      <c r="C20" s="16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2026-10-27T00:31:26Z</dcterms:created>
  <dc:creator>openpyxl</dc:creator>
  <dc:description/>
  <dc:language>en-US</dc:language>
  <cp:lastModifiedBy/>
  <dcterms:modified xsi:type="dcterms:W3CDTF">2026-10-27T01:55:36Z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